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839bcc6a87b97e/Dokumenter/Leistad Fysioterapi og Trening AS/Master 23-25/Masteroppgave div/"/>
    </mc:Choice>
  </mc:AlternateContent>
  <xr:revisionPtr revIDLastSave="0" documentId="8_{7040A306-02C2-4DDB-80D0-9799691CA701}" xr6:coauthVersionLast="47" xr6:coauthVersionMax="47" xr10:uidLastSave="{00000000-0000-0000-0000-000000000000}"/>
  <bookViews>
    <workbookView xWindow="-120" yWindow="-120" windowWidth="29040" windowHeight="15840" xr2:uid="{8505F62C-0772-E842-A06B-B6B331A03C89}"/>
  </bookViews>
  <sheets>
    <sheet name="PRE test" sheetId="2" r:id="rId1"/>
    <sheet name="Post te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4" i="2" l="1"/>
  <c r="T74" i="2"/>
  <c r="U74" i="2"/>
  <c r="S49" i="2"/>
  <c r="T49" i="2"/>
  <c r="U49" i="2"/>
  <c r="S50" i="2"/>
  <c r="T50" i="2"/>
  <c r="U50" i="2"/>
  <c r="S51" i="2"/>
  <c r="T51" i="2"/>
  <c r="U51" i="2"/>
  <c r="S52" i="2"/>
  <c r="T52" i="2"/>
  <c r="U52" i="2"/>
  <c r="S53" i="2"/>
  <c r="T53" i="2"/>
  <c r="U53" i="2"/>
  <c r="S54" i="2"/>
  <c r="T54" i="2"/>
  <c r="U54" i="2"/>
  <c r="S55" i="2"/>
  <c r="T55" i="2"/>
  <c r="U55" i="2"/>
  <c r="S56" i="2"/>
  <c r="T56" i="2"/>
  <c r="U56" i="2"/>
  <c r="S57" i="2"/>
  <c r="T57" i="2"/>
  <c r="U57" i="2"/>
  <c r="S58" i="2"/>
  <c r="T58" i="2"/>
  <c r="U58" i="2"/>
  <c r="S59" i="2"/>
  <c r="T59" i="2"/>
  <c r="U59" i="2"/>
  <c r="S60" i="2"/>
  <c r="T60" i="2"/>
  <c r="U60" i="2"/>
  <c r="S61" i="2"/>
  <c r="T61" i="2"/>
  <c r="U61" i="2"/>
  <c r="S62" i="2"/>
  <c r="T62" i="2"/>
  <c r="U62" i="2"/>
  <c r="S63" i="2"/>
  <c r="T63" i="2"/>
  <c r="U63" i="2"/>
  <c r="S64" i="2"/>
  <c r="T64" i="2"/>
  <c r="U64" i="2"/>
  <c r="S65" i="2"/>
  <c r="T65" i="2"/>
  <c r="U65" i="2"/>
  <c r="S66" i="2"/>
  <c r="T66" i="2"/>
  <c r="U66" i="2"/>
  <c r="S67" i="2"/>
  <c r="T67" i="2"/>
  <c r="U67" i="2"/>
  <c r="S68" i="2"/>
  <c r="T68" i="2"/>
  <c r="U68" i="2"/>
  <c r="S69" i="2"/>
  <c r="T69" i="2"/>
  <c r="U69" i="2"/>
  <c r="S70" i="2"/>
  <c r="T70" i="2"/>
  <c r="U70" i="2"/>
  <c r="S71" i="2"/>
  <c r="T71" i="2"/>
  <c r="U71" i="2"/>
  <c r="S72" i="2"/>
  <c r="T72" i="2"/>
  <c r="U72" i="2"/>
  <c r="S73" i="2"/>
  <c r="T73" i="2"/>
  <c r="U73" i="2"/>
  <c r="U37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8" i="2"/>
  <c r="U39" i="2"/>
  <c r="U40" i="2"/>
  <c r="U41" i="2"/>
  <c r="U42" i="2"/>
  <c r="U43" i="2"/>
  <c r="U44" i="2"/>
  <c r="U45" i="2"/>
  <c r="U46" i="2"/>
  <c r="U47" i="2"/>
  <c r="U48" i="2"/>
  <c r="T4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10" i="2"/>
  <c r="T11" i="2"/>
  <c r="T12" i="2"/>
  <c r="T13" i="2"/>
  <c r="T14" i="2"/>
  <c r="T15" i="2"/>
  <c r="T16" i="2"/>
  <c r="T17" i="2"/>
  <c r="T18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U9" i="2"/>
  <c r="T9" i="2"/>
  <c r="S9" i="2"/>
</calcChain>
</file>

<file path=xl/sharedStrings.xml><?xml version="1.0" encoding="utf-8"?>
<sst xmlns="http://schemas.openxmlformats.org/spreadsheetml/2006/main" count="372" uniqueCount="157">
  <si>
    <t>10 RM</t>
  </si>
  <si>
    <t>Venstre fot</t>
  </si>
  <si>
    <t>Høyre fot</t>
  </si>
  <si>
    <t>Dato</t>
  </si>
  <si>
    <t>TESTLEDER</t>
  </si>
  <si>
    <t>Forsøksperson</t>
  </si>
  <si>
    <t xml:space="preserve">Setestilling </t>
  </si>
  <si>
    <t xml:space="preserve">Fotplassering </t>
  </si>
  <si>
    <t>Oppvarming vekt</t>
  </si>
  <si>
    <t>1 RM</t>
  </si>
  <si>
    <t>Fmax (N)</t>
  </si>
  <si>
    <t>Pmax (W)</t>
  </si>
  <si>
    <t xml:space="preserve"> Vmax (M/S)</t>
  </si>
  <si>
    <t>Vmax (M/S)</t>
  </si>
  <si>
    <t>Totalt Fmax (N)</t>
  </si>
  <si>
    <t>Totalt Pmax (W)</t>
  </si>
  <si>
    <t>Totalt Vmax (M/S)</t>
  </si>
  <si>
    <t>80% test reps</t>
  </si>
  <si>
    <t>80% test KG</t>
  </si>
  <si>
    <t>martin</t>
  </si>
  <si>
    <t>FP011</t>
  </si>
  <si>
    <t>midt</t>
  </si>
  <si>
    <t>40kg</t>
  </si>
  <si>
    <t>133 reps</t>
  </si>
  <si>
    <t>første dagen ble det gjennomført 70% test og ikke 80%, dette vil si at de fire første FP fikk andre resultater</t>
  </si>
  <si>
    <t>oliver</t>
  </si>
  <si>
    <t>FP012</t>
  </si>
  <si>
    <t>35kg</t>
  </si>
  <si>
    <t xml:space="preserve">103 reps </t>
  </si>
  <si>
    <t>FP021</t>
  </si>
  <si>
    <t>bunn</t>
  </si>
  <si>
    <t>42kg</t>
  </si>
  <si>
    <t>17 reps</t>
  </si>
  <si>
    <t>FP201</t>
  </si>
  <si>
    <t>48kg</t>
  </si>
  <si>
    <t>35 reps</t>
  </si>
  <si>
    <t>tonje</t>
  </si>
  <si>
    <t>FP013</t>
  </si>
  <si>
    <t>28kg</t>
  </si>
  <si>
    <t>21 reps</t>
  </si>
  <si>
    <t>hanne</t>
  </si>
  <si>
    <t>FP014</t>
  </si>
  <si>
    <t>37kg</t>
  </si>
  <si>
    <t>14 reps</t>
  </si>
  <si>
    <t>FP022</t>
  </si>
  <si>
    <t>28 reps</t>
  </si>
  <si>
    <t>FP031</t>
  </si>
  <si>
    <t>36kg</t>
  </si>
  <si>
    <t>9 reps</t>
  </si>
  <si>
    <t>FP015</t>
  </si>
  <si>
    <t>FP016</t>
  </si>
  <si>
    <t>høyt</t>
  </si>
  <si>
    <t>41kg</t>
  </si>
  <si>
    <t>FP303</t>
  </si>
  <si>
    <t xml:space="preserve">martin </t>
  </si>
  <si>
    <t>FP304</t>
  </si>
  <si>
    <t>47kg</t>
  </si>
  <si>
    <t>FP202</t>
  </si>
  <si>
    <t>7 reps</t>
  </si>
  <si>
    <t>FP023</t>
  </si>
  <si>
    <t>FP017</t>
  </si>
  <si>
    <t>50kg</t>
  </si>
  <si>
    <t>12 reps</t>
  </si>
  <si>
    <t>FP019</t>
  </si>
  <si>
    <t>25kg</t>
  </si>
  <si>
    <t>19 reps</t>
  </si>
  <si>
    <t>FP018</t>
  </si>
  <si>
    <t>44kg</t>
  </si>
  <si>
    <t>15 reps</t>
  </si>
  <si>
    <t>FP020</t>
  </si>
  <si>
    <t>45kg</t>
  </si>
  <si>
    <t>10 reps</t>
  </si>
  <si>
    <t>FP305</t>
  </si>
  <si>
    <t>43kg</t>
  </si>
  <si>
    <t>16 reps</t>
  </si>
  <si>
    <t>FP033</t>
  </si>
  <si>
    <t>39kg</t>
  </si>
  <si>
    <t>FP051</t>
  </si>
  <si>
    <t>nede</t>
  </si>
  <si>
    <t>11 reps</t>
  </si>
  <si>
    <t>FP306</t>
  </si>
  <si>
    <t>FP307</t>
  </si>
  <si>
    <t>FP034</t>
  </si>
  <si>
    <t>29kg</t>
  </si>
  <si>
    <t>40 reps</t>
  </si>
  <si>
    <t>FP035</t>
  </si>
  <si>
    <t>40 kg</t>
  </si>
  <si>
    <t>FP308</t>
  </si>
  <si>
    <t>38kg</t>
  </si>
  <si>
    <t>20 reps</t>
  </si>
  <si>
    <t>FP309</t>
  </si>
  <si>
    <t>FP203</t>
  </si>
  <si>
    <t>30kg</t>
  </si>
  <si>
    <t>fp204</t>
  </si>
  <si>
    <t>24reps</t>
  </si>
  <si>
    <t>fp024</t>
  </si>
  <si>
    <t>46kg</t>
  </si>
  <si>
    <t>15reps</t>
  </si>
  <si>
    <t>fp052</t>
  </si>
  <si>
    <t>13reps</t>
  </si>
  <si>
    <t>fp311</t>
  </si>
  <si>
    <t>fp312</t>
  </si>
  <si>
    <t>14reps</t>
  </si>
  <si>
    <t>fp041</t>
  </si>
  <si>
    <t>57kg</t>
  </si>
  <si>
    <t>10reps</t>
  </si>
  <si>
    <t>fp025</t>
  </si>
  <si>
    <t>fp205</t>
  </si>
  <si>
    <t>16reps</t>
  </si>
  <si>
    <t>fp053</t>
  </si>
  <si>
    <t>54kg</t>
  </si>
  <si>
    <t>3reps</t>
  </si>
  <si>
    <t>fp054</t>
  </si>
  <si>
    <t>fp055</t>
  </si>
  <si>
    <t>22reps</t>
  </si>
  <si>
    <t>fp056</t>
  </si>
  <si>
    <t>12reps</t>
  </si>
  <si>
    <t>fp057</t>
  </si>
  <si>
    <t>33kg</t>
  </si>
  <si>
    <t>35reps</t>
  </si>
  <si>
    <t>fp032</t>
  </si>
  <si>
    <t>fp036</t>
  </si>
  <si>
    <t>lav</t>
  </si>
  <si>
    <t>fp058</t>
  </si>
  <si>
    <t>21reps</t>
  </si>
  <si>
    <t>fp207</t>
  </si>
  <si>
    <t>29KG</t>
  </si>
  <si>
    <t>34reps</t>
  </si>
  <si>
    <t>fp313</t>
  </si>
  <si>
    <t>fp042</t>
  </si>
  <si>
    <t>fp059</t>
  </si>
  <si>
    <t>31reps</t>
  </si>
  <si>
    <t>fp043</t>
  </si>
  <si>
    <t>19reps</t>
  </si>
  <si>
    <t>fp060</t>
  </si>
  <si>
    <t>fp037</t>
  </si>
  <si>
    <t>fp091</t>
  </si>
  <si>
    <t>fp092</t>
  </si>
  <si>
    <t>fp314</t>
  </si>
  <si>
    <t>fp038</t>
  </si>
  <si>
    <t>11reps</t>
  </si>
  <si>
    <t>fp315</t>
  </si>
  <si>
    <t>20reps</t>
  </si>
  <si>
    <t>fp093</t>
  </si>
  <si>
    <t>fp208</t>
  </si>
  <si>
    <t>52kg</t>
  </si>
  <si>
    <t>18reps</t>
  </si>
  <si>
    <t>fp094</t>
  </si>
  <si>
    <t>fp316</t>
  </si>
  <si>
    <t>26reps</t>
  </si>
  <si>
    <t>fp317</t>
  </si>
  <si>
    <t>fp318</t>
  </si>
  <si>
    <t>6reps</t>
  </si>
  <si>
    <t>fp026</t>
  </si>
  <si>
    <t>fp039</t>
  </si>
  <si>
    <t>FP090</t>
  </si>
  <si>
    <t>FP095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</si>
</sst>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AEFF"/>
        <bgColor indexed="64"/>
      </patternFill>
    </fill>
    <fill>
      <patternFill patternType="solid">
        <fgColor rgb="FFFFE5F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D74FF"/>
        <bgColor indexed="64"/>
      </patternFill>
    </fill>
    <fill>
      <patternFill patternType="solid">
        <fgColor rgb="FF97A1F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7A1FE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11" borderId="4" xfId="0" applyFill="1" applyBorder="1"/>
    <xf numFmtId="0" fontId="0" fillId="11" borderId="5" xfId="0" applyFill="1" applyBorder="1"/>
    <xf numFmtId="0" fontId="0" fillId="13" borderId="4" xfId="0" applyFill="1" applyBorder="1"/>
    <xf numFmtId="0" fontId="0" fillId="13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8" xfId="0" applyFill="1" applyBorder="1"/>
    <xf numFmtId="0" fontId="0" fillId="7" borderId="9" xfId="0" applyFill="1" applyBorder="1"/>
    <xf numFmtId="0" fontId="0" fillId="13" borderId="8" xfId="0" applyFill="1" applyBorder="1"/>
    <xf numFmtId="0" fontId="0" fillId="11" borderId="8" xfId="0" applyFill="1" applyBorder="1"/>
    <xf numFmtId="0" fontId="0" fillId="4" borderId="2" xfId="0" applyFill="1" applyBorder="1"/>
    <xf numFmtId="0" fontId="0" fillId="6" borderId="11" xfId="0" applyFill="1" applyBorder="1"/>
    <xf numFmtId="0" fontId="0" fillId="12" borderId="2" xfId="0" applyFill="1" applyBorder="1"/>
    <xf numFmtId="0" fontId="0" fillId="10" borderId="2" xfId="0" applyFill="1" applyBorder="1"/>
    <xf numFmtId="0" fontId="0" fillId="14" borderId="2" xfId="0" applyFill="1" applyBorder="1"/>
    <xf numFmtId="0" fontId="0" fillId="9" borderId="2" xfId="0" applyFill="1" applyBorder="1"/>
    <xf numFmtId="0" fontId="0" fillId="8" borderId="2" xfId="0" applyFill="1" applyBorder="1"/>
    <xf numFmtId="0" fontId="0" fillId="8" borderId="10" xfId="0" applyFill="1" applyBorder="1"/>
    <xf numFmtId="0" fontId="0" fillId="9" borderId="8" xfId="0" applyFill="1" applyBorder="1"/>
    <xf numFmtId="0" fontId="0" fillId="9" borderId="4" xfId="0" applyFill="1" applyBorder="1"/>
    <xf numFmtId="0" fontId="0" fillId="9" borderId="5" xfId="0" applyFill="1" applyBorder="1"/>
    <xf numFmtId="0" fontId="0" fillId="8" borderId="13" xfId="0" applyFill="1" applyBorder="1"/>
    <xf numFmtId="0" fontId="0" fillId="16" borderId="14" xfId="0" applyFill="1" applyBorder="1"/>
    <xf numFmtId="0" fontId="0" fillId="17" borderId="3" xfId="0" applyFill="1" applyBorder="1"/>
    <xf numFmtId="0" fontId="0" fillId="17" borderId="4" xfId="0" applyFill="1" applyBorder="1"/>
    <xf numFmtId="0" fontId="0" fillId="17" borderId="5" xfId="0" applyFill="1" applyBorder="1"/>
    <xf numFmtId="0" fontId="0" fillId="9" borderId="18" xfId="0" applyFill="1" applyBorder="1"/>
    <xf numFmtId="0" fontId="0" fillId="9" borderId="19" xfId="0" applyFill="1" applyBorder="1"/>
    <xf numFmtId="0" fontId="0" fillId="9" borderId="20" xfId="0" applyFill="1" applyBorder="1"/>
    <xf numFmtId="0" fontId="0" fillId="9" borderId="15" xfId="0" applyFill="1" applyBorder="1"/>
    <xf numFmtId="0" fontId="0" fillId="9" borderId="16" xfId="0" applyFill="1" applyBorder="1"/>
    <xf numFmtId="0" fontId="0" fillId="9" borderId="17" xfId="0" applyFill="1" applyBorder="1"/>
    <xf numFmtId="0" fontId="0" fillId="2" borderId="13" xfId="0" applyFill="1" applyBorder="1"/>
    <xf numFmtId="0" fontId="0" fillId="3" borderId="9" xfId="0" applyFill="1" applyBorder="1"/>
    <xf numFmtId="0" fontId="0" fillId="3" borderId="6" xfId="0" applyFill="1" applyBorder="1"/>
    <xf numFmtId="0" fontId="0" fillId="3" borderId="7" xfId="0" applyFill="1" applyBorder="1"/>
    <xf numFmtId="0" fontId="0" fillId="11" borderId="9" xfId="0" applyFill="1" applyBorder="1"/>
    <xf numFmtId="0" fontId="0" fillId="11" borderId="6" xfId="0" applyFill="1" applyBorder="1"/>
    <xf numFmtId="0" fontId="0" fillId="11" borderId="7" xfId="0" applyFill="1" applyBorder="1"/>
    <xf numFmtId="0" fontId="0" fillId="18" borderId="21" xfId="0" applyFill="1" applyBorder="1"/>
    <xf numFmtId="0" fontId="0" fillId="10" borderId="13" xfId="0" applyFill="1" applyBorder="1"/>
    <xf numFmtId="0" fontId="0" fillId="19" borderId="4" xfId="0" applyFill="1" applyBorder="1"/>
    <xf numFmtId="0" fontId="0" fillId="19" borderId="5" xfId="0" applyFill="1" applyBorder="1"/>
    <xf numFmtId="14" fontId="0" fillId="19" borderId="4" xfId="0" applyNumberFormat="1" applyFill="1" applyBorder="1"/>
    <xf numFmtId="0" fontId="0" fillId="15" borderId="23" xfId="0" applyFill="1" applyBorder="1"/>
    <xf numFmtId="0" fontId="0" fillId="15" borderId="18" xfId="0" applyFill="1" applyBorder="1"/>
    <xf numFmtId="0" fontId="0" fillId="15" borderId="19" xfId="0" applyFill="1" applyBorder="1"/>
    <xf numFmtId="0" fontId="0" fillId="15" borderId="20" xfId="0" applyFill="1" applyBorder="1"/>
    <xf numFmtId="0" fontId="0" fillId="20" borderId="2" xfId="0" applyFill="1" applyBorder="1"/>
    <xf numFmtId="14" fontId="2" fillId="21" borderId="4" xfId="0" applyNumberFormat="1" applyFont="1" applyFill="1" applyBorder="1"/>
    <xf numFmtId="0" fontId="0" fillId="5" borderId="3" xfId="0" applyFill="1" applyBorder="1"/>
    <xf numFmtId="0" fontId="0" fillId="3" borderId="23" xfId="0" applyFill="1" applyBorder="1"/>
    <xf numFmtId="0" fontId="0" fillId="3" borderId="3" xfId="0" applyFill="1" applyBorder="1"/>
    <xf numFmtId="0" fontId="0" fillId="3" borderId="18" xfId="0" applyFill="1" applyBorder="1"/>
    <xf numFmtId="0" fontId="0" fillId="3" borderId="4" xfId="0" applyFill="1" applyBorder="1" applyAlignment="1">
      <alignment vertical="center" wrapText="1"/>
    </xf>
    <xf numFmtId="0" fontId="0" fillId="3" borderId="19" xfId="0" applyFill="1" applyBorder="1"/>
    <xf numFmtId="0" fontId="0" fillId="3" borderId="20" xfId="0" applyFill="1" applyBorder="1"/>
    <xf numFmtId="0" fontId="0" fillId="3" borderId="5" xfId="0" applyFill="1" applyBorder="1" applyAlignment="1">
      <alignment vertical="center" wrapText="1"/>
    </xf>
    <xf numFmtId="0" fontId="1" fillId="18" borderId="21" xfId="0" applyFont="1" applyFill="1" applyBorder="1"/>
    <xf numFmtId="0" fontId="1" fillId="10" borderId="13" xfId="0" applyFont="1" applyFill="1" applyBorder="1"/>
    <xf numFmtId="0" fontId="1" fillId="2" borderId="13" xfId="0" applyFont="1" applyFill="1" applyBorder="1"/>
    <xf numFmtId="0" fontId="1" fillId="4" borderId="2" xfId="0" applyFont="1" applyFill="1" applyBorder="1"/>
    <xf numFmtId="0" fontId="1" fillId="6" borderId="11" xfId="0" applyFont="1" applyFill="1" applyBorder="1"/>
    <xf numFmtId="0" fontId="1" fillId="12" borderId="2" xfId="0" applyFont="1" applyFill="1" applyBorder="1"/>
    <xf numFmtId="0" fontId="1" fillId="10" borderId="2" xfId="0" applyFont="1" applyFill="1" applyBorder="1"/>
    <xf numFmtId="0" fontId="1" fillId="8" borderId="10" xfId="0" applyFont="1" applyFill="1" applyBorder="1"/>
    <xf numFmtId="0" fontId="1" fillId="8" borderId="2" xfId="0" applyFont="1" applyFill="1" applyBorder="1"/>
    <xf numFmtId="0" fontId="1" fillId="8" borderId="11" xfId="0" applyFont="1" applyFill="1" applyBorder="1"/>
    <xf numFmtId="0" fontId="1" fillId="8" borderId="13" xfId="0" applyFont="1" applyFill="1" applyBorder="1"/>
    <xf numFmtId="0" fontId="1" fillId="16" borderId="14" xfId="0" applyFont="1" applyFill="1" applyBorder="1"/>
    <xf numFmtId="0" fontId="1" fillId="14" borderId="10" xfId="0" applyFont="1" applyFill="1" applyBorder="1"/>
    <xf numFmtId="0" fontId="1" fillId="20" borderId="2" xfId="0" applyFont="1" applyFill="1" applyBorder="1"/>
    <xf numFmtId="0" fontId="1" fillId="9" borderId="2" xfId="0" applyFont="1" applyFill="1" applyBorder="1"/>
    <xf numFmtId="0" fontId="1" fillId="0" borderId="0" xfId="0" applyFont="1"/>
    <xf numFmtId="0" fontId="1" fillId="0" borderId="12" xfId="0" applyFont="1" applyBorder="1"/>
    <xf numFmtId="0" fontId="1" fillId="0" borderId="1" xfId="0" applyFont="1" applyBorder="1"/>
    <xf numFmtId="14" fontId="0" fillId="19" borderId="5" xfId="0" applyNumberFormat="1" applyFill="1" applyBorder="1"/>
    <xf numFmtId="16" fontId="0" fillId="19" borderId="5" xfId="0" applyNumberFormat="1" applyFill="1" applyBorder="1"/>
    <xf numFmtId="0" fontId="3" fillId="3" borderId="0" xfId="0" applyFont="1" applyFill="1"/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A1FE"/>
      <color rgb="FF7D74FF"/>
      <color rgb="FFFFE5FB"/>
      <color rgb="FFFFA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37E1-481C-1E48-A142-F70346B23E58}">
  <dimension ref="E5:AA74"/>
  <sheetViews>
    <sheetView tabSelected="1" topLeftCell="D7" workbookViewId="0">
      <selection activeCell="D68" sqref="D68"/>
    </sheetView>
  </sheetViews>
  <sheetFormatPr baseColWidth="10" defaultColWidth="11" defaultRowHeight="15.75" x14ac:dyDescent="0.25"/>
  <cols>
    <col min="8" max="8" width="13" bestFit="1" customWidth="1"/>
    <col min="10" max="10" width="12.625" bestFit="1" customWidth="1"/>
    <col min="11" max="11" width="15" bestFit="1" customWidth="1"/>
    <col min="15" max="15" width="11.625" bestFit="1" customWidth="1"/>
    <col min="18" max="18" width="11.125" bestFit="1" customWidth="1"/>
    <col min="19" max="19" width="14.625" bestFit="1" customWidth="1"/>
    <col min="20" max="20" width="14.125" bestFit="1" customWidth="1"/>
    <col min="21" max="21" width="16.625" bestFit="1" customWidth="1"/>
    <col min="22" max="22" width="12.625" bestFit="1" customWidth="1"/>
    <col min="23" max="23" width="11.5" bestFit="1" customWidth="1"/>
  </cols>
  <sheetData>
    <row r="5" spans="5:27" ht="16.5" thickBot="1" x14ac:dyDescent="0.3"/>
    <row r="6" spans="5:27" ht="16.5" thickBot="1" x14ac:dyDescent="0.3">
      <c r="M6" s="75" t="s">
        <v>0</v>
      </c>
      <c r="N6" s="76"/>
      <c r="O6" s="76"/>
      <c r="P6" s="76"/>
    </row>
    <row r="7" spans="5:27" ht="16.5" thickBot="1" x14ac:dyDescent="0.3">
      <c r="M7" s="75" t="s">
        <v>1</v>
      </c>
      <c r="N7" s="77"/>
      <c r="O7" s="78"/>
      <c r="P7" s="75" t="s">
        <v>2</v>
      </c>
    </row>
    <row r="8" spans="5:27" ht="16.5" thickBot="1" x14ac:dyDescent="0.3">
      <c r="F8" s="61" t="s">
        <v>3</v>
      </c>
      <c r="G8" s="62" t="s">
        <v>4</v>
      </c>
      <c r="H8" s="63" t="s">
        <v>5</v>
      </c>
      <c r="I8" s="64" t="s">
        <v>6</v>
      </c>
      <c r="J8" s="65" t="s">
        <v>7</v>
      </c>
      <c r="K8" s="66" t="s">
        <v>8</v>
      </c>
      <c r="L8" s="67" t="s">
        <v>9</v>
      </c>
      <c r="M8" s="68" t="s">
        <v>10</v>
      </c>
      <c r="N8" s="69" t="s">
        <v>11</v>
      </c>
      <c r="O8" s="70" t="s">
        <v>12</v>
      </c>
      <c r="P8" s="68" t="s">
        <v>10</v>
      </c>
      <c r="Q8" s="69" t="s">
        <v>11</v>
      </c>
      <c r="R8" s="71" t="s">
        <v>13</v>
      </c>
      <c r="S8" s="72" t="s">
        <v>14</v>
      </c>
      <c r="T8" s="72" t="s">
        <v>15</v>
      </c>
      <c r="U8" s="72" t="s">
        <v>16</v>
      </c>
      <c r="V8" s="73" t="s">
        <v>17</v>
      </c>
      <c r="W8" s="74" t="s">
        <v>18</v>
      </c>
    </row>
    <row r="9" spans="5:27" ht="17.100000000000001" customHeight="1" thickBot="1" x14ac:dyDescent="0.3">
      <c r="E9">
        <v>1</v>
      </c>
      <c r="F9" s="46">
        <v>45537</v>
      </c>
      <c r="G9" s="39" t="s">
        <v>19</v>
      </c>
      <c r="H9" s="36" t="s">
        <v>20</v>
      </c>
      <c r="I9" s="9">
        <v>5</v>
      </c>
      <c r="J9" s="10" t="s">
        <v>21</v>
      </c>
      <c r="K9" s="11" t="s">
        <v>22</v>
      </c>
      <c r="L9" s="12">
        <v>155</v>
      </c>
      <c r="M9" s="29">
        <v>759</v>
      </c>
      <c r="N9" s="21">
        <v>291</v>
      </c>
      <c r="O9" s="32">
        <v>1.5</v>
      </c>
      <c r="P9" s="29">
        <v>778</v>
      </c>
      <c r="Q9" s="21">
        <v>282</v>
      </c>
      <c r="R9" s="32">
        <v>1.45</v>
      </c>
      <c r="S9" s="26">
        <f>M9+P9</f>
        <v>1537</v>
      </c>
      <c r="T9" s="26">
        <f>N9+Q9</f>
        <v>573</v>
      </c>
      <c r="U9" s="26">
        <f>O9+R9</f>
        <v>2.95</v>
      </c>
      <c r="V9" s="54" t="s">
        <v>23</v>
      </c>
      <c r="W9" s="55">
        <v>98</v>
      </c>
      <c r="X9" s="82" t="s">
        <v>24</v>
      </c>
      <c r="Y9" s="83"/>
      <c r="Z9" s="83"/>
      <c r="AA9" s="84"/>
    </row>
    <row r="10" spans="5:27" ht="16.5" thickBot="1" x14ac:dyDescent="0.3">
      <c r="E10">
        <v>2</v>
      </c>
      <c r="F10" s="46">
        <v>45537</v>
      </c>
      <c r="G10" s="40" t="s">
        <v>25</v>
      </c>
      <c r="H10" s="37" t="s">
        <v>26</v>
      </c>
      <c r="I10" s="7">
        <v>5</v>
      </c>
      <c r="J10" s="5" t="s">
        <v>21</v>
      </c>
      <c r="K10" s="3" t="s">
        <v>27</v>
      </c>
      <c r="L10" s="1">
        <v>110</v>
      </c>
      <c r="M10" s="30">
        <v>740</v>
      </c>
      <c r="N10" s="22">
        <v>188</v>
      </c>
      <c r="O10" s="33">
        <v>1.02</v>
      </c>
      <c r="P10" s="30">
        <v>733</v>
      </c>
      <c r="Q10" s="22">
        <v>207</v>
      </c>
      <c r="R10" s="33">
        <v>1.1299999999999999</v>
      </c>
      <c r="S10" s="26">
        <f t="shared" ref="S10:S48" si="0">M10+P10</f>
        <v>1473</v>
      </c>
      <c r="T10" s="26">
        <f t="shared" ref="T10:T47" si="1">N10+Q10</f>
        <v>395</v>
      </c>
      <c r="U10" s="26">
        <f t="shared" ref="U10:U48" si="2">O10+R10</f>
        <v>2.15</v>
      </c>
      <c r="V10" s="56" t="s">
        <v>28</v>
      </c>
      <c r="W10" s="57">
        <v>74</v>
      </c>
      <c r="X10" s="85"/>
      <c r="Y10" s="86"/>
      <c r="Z10" s="86"/>
      <c r="AA10" s="87"/>
    </row>
    <row r="11" spans="5:27" ht="16.5" thickBot="1" x14ac:dyDescent="0.3">
      <c r="E11">
        <v>3</v>
      </c>
      <c r="F11" s="46">
        <v>45537</v>
      </c>
      <c r="G11" s="40" t="s">
        <v>19</v>
      </c>
      <c r="H11" s="37" t="s">
        <v>29</v>
      </c>
      <c r="I11" s="7">
        <v>5</v>
      </c>
      <c r="J11" s="5" t="s">
        <v>30</v>
      </c>
      <c r="K11" s="3" t="s">
        <v>31</v>
      </c>
      <c r="L11" s="1">
        <v>250</v>
      </c>
      <c r="M11" s="30">
        <v>944</v>
      </c>
      <c r="N11" s="22">
        <v>485</v>
      </c>
      <c r="O11" s="33">
        <v>2.06</v>
      </c>
      <c r="P11" s="30">
        <v>1142</v>
      </c>
      <c r="Q11" s="22">
        <v>599</v>
      </c>
      <c r="R11" s="33">
        <v>2.1</v>
      </c>
      <c r="S11" s="26">
        <f t="shared" si="0"/>
        <v>2086</v>
      </c>
      <c r="T11" s="26">
        <f t="shared" si="1"/>
        <v>1084</v>
      </c>
      <c r="U11" s="26">
        <f t="shared" si="2"/>
        <v>4.16</v>
      </c>
      <c r="V11" s="58" t="s">
        <v>32</v>
      </c>
      <c r="W11" s="57">
        <v>175</v>
      </c>
      <c r="X11" s="85"/>
      <c r="Y11" s="86"/>
      <c r="Z11" s="86"/>
      <c r="AA11" s="87"/>
    </row>
    <row r="12" spans="5:27" ht="16.5" thickBot="1" x14ac:dyDescent="0.3">
      <c r="E12">
        <v>4</v>
      </c>
      <c r="F12" s="46">
        <v>45537</v>
      </c>
      <c r="G12" s="40" t="s">
        <v>25</v>
      </c>
      <c r="H12" s="37" t="s">
        <v>33</v>
      </c>
      <c r="I12" s="7">
        <v>5</v>
      </c>
      <c r="J12" s="5" t="s">
        <v>30</v>
      </c>
      <c r="K12" s="3" t="s">
        <v>34</v>
      </c>
      <c r="L12" s="1">
        <v>163</v>
      </c>
      <c r="M12" s="30">
        <v>718</v>
      </c>
      <c r="N12" s="22">
        <v>351</v>
      </c>
      <c r="O12" s="33">
        <v>1.95</v>
      </c>
      <c r="P12" s="30">
        <v>833</v>
      </c>
      <c r="Q12" s="22">
        <v>383</v>
      </c>
      <c r="R12" s="33">
        <v>1.84</v>
      </c>
      <c r="S12" s="26">
        <f t="shared" si="0"/>
        <v>1551</v>
      </c>
      <c r="T12" s="26">
        <f t="shared" si="1"/>
        <v>734</v>
      </c>
      <c r="U12" s="26">
        <f t="shared" si="2"/>
        <v>3.79</v>
      </c>
      <c r="V12" s="59" t="s">
        <v>35</v>
      </c>
      <c r="W12" s="60">
        <v>114</v>
      </c>
      <c r="X12" s="88"/>
      <c r="Y12" s="89"/>
      <c r="Z12" s="89"/>
      <c r="AA12" s="90"/>
    </row>
    <row r="13" spans="5:27" ht="16.5" thickBot="1" x14ac:dyDescent="0.3">
      <c r="E13">
        <v>5</v>
      </c>
      <c r="F13" s="46">
        <v>45538</v>
      </c>
      <c r="G13" s="40" t="s">
        <v>36</v>
      </c>
      <c r="H13" s="37" t="s">
        <v>37</v>
      </c>
      <c r="I13" s="7">
        <v>5</v>
      </c>
      <c r="J13" s="5" t="s">
        <v>21</v>
      </c>
      <c r="K13" s="3" t="s">
        <v>38</v>
      </c>
      <c r="L13" s="1">
        <v>130</v>
      </c>
      <c r="M13" s="30">
        <v>579</v>
      </c>
      <c r="N13" s="22">
        <v>253</v>
      </c>
      <c r="O13" s="33">
        <v>1.75</v>
      </c>
      <c r="P13" s="30">
        <v>604</v>
      </c>
      <c r="Q13" s="22">
        <v>268</v>
      </c>
      <c r="R13" s="33">
        <v>1.78</v>
      </c>
      <c r="S13" s="26">
        <f t="shared" si="0"/>
        <v>1183</v>
      </c>
      <c r="T13" s="26">
        <f t="shared" si="1"/>
        <v>521</v>
      </c>
      <c r="U13" s="26">
        <f t="shared" si="2"/>
        <v>3.5300000000000002</v>
      </c>
      <c r="V13" s="48" t="s">
        <v>39</v>
      </c>
      <c r="W13" s="9">
        <v>104</v>
      </c>
    </row>
    <row r="14" spans="5:27" ht="16.5" thickBot="1" x14ac:dyDescent="0.3">
      <c r="E14">
        <v>6</v>
      </c>
      <c r="F14" s="46">
        <v>45538</v>
      </c>
      <c r="G14" s="40" t="s">
        <v>40</v>
      </c>
      <c r="H14" s="37" t="s">
        <v>41</v>
      </c>
      <c r="I14" s="7">
        <v>5</v>
      </c>
      <c r="J14" s="5" t="s">
        <v>30</v>
      </c>
      <c r="K14" s="3" t="s">
        <v>42</v>
      </c>
      <c r="L14" s="1">
        <v>140</v>
      </c>
      <c r="M14" s="30">
        <v>619</v>
      </c>
      <c r="N14" s="22">
        <v>306</v>
      </c>
      <c r="O14" s="33">
        <v>1.98</v>
      </c>
      <c r="P14" s="30">
        <v>648</v>
      </c>
      <c r="Q14" s="22">
        <v>330</v>
      </c>
      <c r="R14" s="33">
        <v>2.0299999999999998</v>
      </c>
      <c r="S14" s="26">
        <f t="shared" si="0"/>
        <v>1267</v>
      </c>
      <c r="T14" s="26">
        <f t="shared" si="1"/>
        <v>636</v>
      </c>
      <c r="U14" s="26">
        <f t="shared" si="2"/>
        <v>4.01</v>
      </c>
      <c r="V14" s="49" t="s">
        <v>43</v>
      </c>
      <c r="W14" s="7">
        <v>112</v>
      </c>
    </row>
    <row r="15" spans="5:27" ht="16.5" thickBot="1" x14ac:dyDescent="0.3">
      <c r="E15">
        <v>7</v>
      </c>
      <c r="F15" s="46">
        <v>45538</v>
      </c>
      <c r="G15" s="40" t="s">
        <v>36</v>
      </c>
      <c r="H15" s="37" t="s">
        <v>44</v>
      </c>
      <c r="I15" s="7">
        <v>8</v>
      </c>
      <c r="J15" s="5" t="s">
        <v>30</v>
      </c>
      <c r="K15" s="3" t="s">
        <v>22</v>
      </c>
      <c r="L15" s="1">
        <v>205</v>
      </c>
      <c r="M15" s="30">
        <v>842</v>
      </c>
      <c r="N15" s="22">
        <v>445</v>
      </c>
      <c r="O15" s="33">
        <v>2.12</v>
      </c>
      <c r="P15" s="30">
        <v>855</v>
      </c>
      <c r="Q15" s="22">
        <v>469</v>
      </c>
      <c r="R15" s="33">
        <v>2.2000000000000002</v>
      </c>
      <c r="S15" s="26">
        <f t="shared" si="0"/>
        <v>1697</v>
      </c>
      <c r="T15" s="26">
        <f t="shared" si="1"/>
        <v>914</v>
      </c>
      <c r="U15" s="26">
        <f t="shared" si="2"/>
        <v>4.32</v>
      </c>
      <c r="V15" s="49" t="s">
        <v>45</v>
      </c>
      <c r="W15" s="7">
        <v>164</v>
      </c>
    </row>
    <row r="16" spans="5:27" ht="16.5" thickBot="1" x14ac:dyDescent="0.3">
      <c r="E16">
        <v>8</v>
      </c>
      <c r="F16" s="52">
        <v>45538</v>
      </c>
      <c r="G16" s="40" t="s">
        <v>40</v>
      </c>
      <c r="H16" s="37" t="s">
        <v>46</v>
      </c>
      <c r="I16" s="7">
        <v>5</v>
      </c>
      <c r="J16" s="5" t="s">
        <v>21</v>
      </c>
      <c r="K16" s="3" t="s">
        <v>47</v>
      </c>
      <c r="L16" s="1">
        <v>120</v>
      </c>
      <c r="M16" s="30">
        <v>478</v>
      </c>
      <c r="N16" s="22">
        <v>220</v>
      </c>
      <c r="O16" s="33">
        <v>1.84</v>
      </c>
      <c r="P16" s="30">
        <v>510</v>
      </c>
      <c r="Q16" s="22">
        <v>234</v>
      </c>
      <c r="R16" s="33">
        <v>1.84</v>
      </c>
      <c r="S16" s="26">
        <f t="shared" si="0"/>
        <v>988</v>
      </c>
      <c r="T16" s="26">
        <f t="shared" si="1"/>
        <v>454</v>
      </c>
      <c r="U16" s="26">
        <f t="shared" si="2"/>
        <v>3.68</v>
      </c>
      <c r="V16" s="49" t="s">
        <v>48</v>
      </c>
      <c r="W16" s="7">
        <v>96</v>
      </c>
    </row>
    <row r="17" spans="5:23" ht="16.5" thickBot="1" x14ac:dyDescent="0.3">
      <c r="E17">
        <v>9</v>
      </c>
      <c r="F17" s="46">
        <v>45539</v>
      </c>
      <c r="G17" s="40" t="s">
        <v>25</v>
      </c>
      <c r="H17" s="37" t="s">
        <v>49</v>
      </c>
      <c r="I17" s="7">
        <v>5</v>
      </c>
      <c r="J17" s="5" t="s">
        <v>21</v>
      </c>
      <c r="K17" s="3" t="s">
        <v>27</v>
      </c>
      <c r="L17" s="1">
        <v>140</v>
      </c>
      <c r="M17" s="30">
        <v>802</v>
      </c>
      <c r="N17" s="22">
        <v>181</v>
      </c>
      <c r="O17" s="33">
        <v>0.9</v>
      </c>
      <c r="P17" s="30">
        <v>698</v>
      </c>
      <c r="Q17" s="22">
        <v>175</v>
      </c>
      <c r="R17" s="33">
        <v>1</v>
      </c>
      <c r="S17" s="26">
        <f t="shared" si="0"/>
        <v>1500</v>
      </c>
      <c r="T17" s="26">
        <f t="shared" si="1"/>
        <v>356</v>
      </c>
      <c r="U17" s="26">
        <f t="shared" si="2"/>
        <v>1.9</v>
      </c>
      <c r="V17" s="49" t="s">
        <v>43</v>
      </c>
      <c r="W17" s="7">
        <v>112</v>
      </c>
    </row>
    <row r="18" spans="5:23" ht="16.5" thickBot="1" x14ac:dyDescent="0.3">
      <c r="E18">
        <v>10</v>
      </c>
      <c r="F18" s="46">
        <v>45539</v>
      </c>
      <c r="G18" s="40" t="s">
        <v>19</v>
      </c>
      <c r="H18" s="37" t="s">
        <v>50</v>
      </c>
      <c r="I18" s="7">
        <v>4</v>
      </c>
      <c r="J18" s="5" t="s">
        <v>51</v>
      </c>
      <c r="K18" s="3" t="s">
        <v>52</v>
      </c>
      <c r="L18" s="1">
        <v>140</v>
      </c>
      <c r="M18" s="30">
        <v>599</v>
      </c>
      <c r="N18" s="22">
        <v>305</v>
      </c>
      <c r="O18" s="33">
        <v>2.04</v>
      </c>
      <c r="P18" s="30">
        <v>645</v>
      </c>
      <c r="Q18" s="22">
        <v>314</v>
      </c>
      <c r="R18" s="33">
        <v>1.94</v>
      </c>
      <c r="S18" s="26">
        <f t="shared" si="0"/>
        <v>1244</v>
      </c>
      <c r="T18" s="26">
        <f t="shared" si="1"/>
        <v>619</v>
      </c>
      <c r="U18" s="26">
        <f t="shared" si="2"/>
        <v>3.98</v>
      </c>
      <c r="V18" s="49" t="s">
        <v>48</v>
      </c>
      <c r="W18" s="7">
        <v>112</v>
      </c>
    </row>
    <row r="19" spans="5:23" ht="16.5" thickBot="1" x14ac:dyDescent="0.3">
      <c r="E19">
        <v>11</v>
      </c>
      <c r="F19" s="46">
        <v>45539</v>
      </c>
      <c r="G19" s="40" t="s">
        <v>25</v>
      </c>
      <c r="H19" s="37" t="s">
        <v>53</v>
      </c>
      <c r="I19" s="7">
        <v>9</v>
      </c>
      <c r="J19" s="5" t="s">
        <v>51</v>
      </c>
      <c r="K19" s="3" t="s">
        <v>22</v>
      </c>
      <c r="L19" s="1">
        <v>201</v>
      </c>
      <c r="M19" s="30">
        <v>1038</v>
      </c>
      <c r="N19" s="22">
        <v>151</v>
      </c>
      <c r="O19" s="33">
        <v>0.57999999999999996</v>
      </c>
      <c r="P19" s="30">
        <v>911</v>
      </c>
      <c r="Q19" s="22">
        <v>160</v>
      </c>
      <c r="R19" s="33">
        <v>0.7</v>
      </c>
      <c r="S19" s="26">
        <f t="shared" si="0"/>
        <v>1949</v>
      </c>
      <c r="T19" s="26">
        <f t="shared" si="1"/>
        <v>311</v>
      </c>
      <c r="U19" s="26">
        <f t="shared" si="2"/>
        <v>1.2799999999999998</v>
      </c>
      <c r="V19" s="49" t="s">
        <v>39</v>
      </c>
      <c r="W19" s="7">
        <v>161</v>
      </c>
    </row>
    <row r="20" spans="5:23" ht="16.5" thickBot="1" x14ac:dyDescent="0.3">
      <c r="E20">
        <v>12</v>
      </c>
      <c r="F20" s="52">
        <v>45539</v>
      </c>
      <c r="G20" s="40" t="s">
        <v>54</v>
      </c>
      <c r="H20" s="37" t="s">
        <v>55</v>
      </c>
      <c r="I20" s="7">
        <v>7</v>
      </c>
      <c r="J20" s="5" t="s">
        <v>21</v>
      </c>
      <c r="K20" s="3" t="s">
        <v>56</v>
      </c>
      <c r="L20" s="1">
        <v>85</v>
      </c>
      <c r="M20" s="30">
        <v>859</v>
      </c>
      <c r="N20" s="22">
        <v>108</v>
      </c>
      <c r="O20" s="33">
        <v>0.5</v>
      </c>
      <c r="P20" s="30">
        <v>757</v>
      </c>
      <c r="Q20" s="22">
        <v>124</v>
      </c>
      <c r="R20" s="33">
        <v>0.65</v>
      </c>
      <c r="S20" s="26">
        <f t="shared" si="0"/>
        <v>1616</v>
      </c>
      <c r="T20" s="26">
        <f t="shared" si="1"/>
        <v>232</v>
      </c>
      <c r="U20" s="26">
        <f t="shared" si="2"/>
        <v>1.1499999999999999</v>
      </c>
      <c r="V20" s="49" t="s">
        <v>39</v>
      </c>
      <c r="W20" s="7">
        <v>68</v>
      </c>
    </row>
    <row r="21" spans="5:23" ht="16.5" thickBot="1" x14ac:dyDescent="0.3">
      <c r="E21">
        <v>13</v>
      </c>
      <c r="F21" s="52">
        <v>45539</v>
      </c>
      <c r="G21" s="40" t="s">
        <v>25</v>
      </c>
      <c r="H21" s="37" t="s">
        <v>57</v>
      </c>
      <c r="I21" s="7">
        <v>7</v>
      </c>
      <c r="J21" s="5" t="s">
        <v>21</v>
      </c>
      <c r="K21" s="3" t="s">
        <v>27</v>
      </c>
      <c r="L21" s="1">
        <v>200</v>
      </c>
      <c r="M21" s="30">
        <v>843</v>
      </c>
      <c r="N21" s="22">
        <v>411</v>
      </c>
      <c r="O21" s="33">
        <v>1.95</v>
      </c>
      <c r="P21" s="30">
        <v>874</v>
      </c>
      <c r="Q21" s="22">
        <v>423</v>
      </c>
      <c r="R21" s="33">
        <v>1.94</v>
      </c>
      <c r="S21" s="26">
        <f t="shared" si="0"/>
        <v>1717</v>
      </c>
      <c r="T21" s="26">
        <f t="shared" si="1"/>
        <v>834</v>
      </c>
      <c r="U21" s="26">
        <f t="shared" si="2"/>
        <v>3.8899999999999997</v>
      </c>
      <c r="V21" s="49" t="s">
        <v>58</v>
      </c>
      <c r="W21" s="7">
        <v>160</v>
      </c>
    </row>
    <row r="22" spans="5:23" ht="16.5" thickBot="1" x14ac:dyDescent="0.3">
      <c r="E22">
        <v>14</v>
      </c>
      <c r="F22" s="52">
        <v>45539</v>
      </c>
      <c r="G22" s="40" t="s">
        <v>19</v>
      </c>
      <c r="H22" s="37" t="s">
        <v>59</v>
      </c>
      <c r="I22" s="7">
        <v>7</v>
      </c>
      <c r="J22" s="5" t="s">
        <v>51</v>
      </c>
      <c r="K22" s="3" t="s">
        <v>31</v>
      </c>
      <c r="L22" s="1">
        <v>250</v>
      </c>
      <c r="M22" s="30">
        <v>1008</v>
      </c>
      <c r="N22" s="22">
        <v>553</v>
      </c>
      <c r="O22" s="33">
        <v>2.19</v>
      </c>
      <c r="P22" s="30">
        <v>1089</v>
      </c>
      <c r="Q22" s="22">
        <v>644</v>
      </c>
      <c r="R22" s="33">
        <v>2.36</v>
      </c>
      <c r="S22" s="26">
        <f t="shared" si="0"/>
        <v>2097</v>
      </c>
      <c r="T22" s="26">
        <f t="shared" si="1"/>
        <v>1197</v>
      </c>
      <c r="U22" s="26">
        <f t="shared" si="2"/>
        <v>4.55</v>
      </c>
      <c r="V22" s="49" t="s">
        <v>58</v>
      </c>
      <c r="W22" s="7">
        <v>200</v>
      </c>
    </row>
    <row r="23" spans="5:23" ht="16.5" thickBot="1" x14ac:dyDescent="0.3">
      <c r="E23">
        <v>15</v>
      </c>
      <c r="F23" s="52">
        <v>45539</v>
      </c>
      <c r="G23" s="40" t="s">
        <v>25</v>
      </c>
      <c r="H23" s="37" t="s">
        <v>60</v>
      </c>
      <c r="I23" s="7">
        <v>6</v>
      </c>
      <c r="J23" s="5" t="s">
        <v>30</v>
      </c>
      <c r="K23" s="3" t="s">
        <v>61</v>
      </c>
      <c r="L23" s="1">
        <v>225</v>
      </c>
      <c r="M23" s="30">
        <v>1177</v>
      </c>
      <c r="N23" s="22">
        <v>455</v>
      </c>
      <c r="O23" s="33">
        <v>1.55</v>
      </c>
      <c r="P23" s="30">
        <v>1113</v>
      </c>
      <c r="Q23" s="22">
        <v>469</v>
      </c>
      <c r="R23" s="33">
        <v>1.69</v>
      </c>
      <c r="S23" s="26">
        <f t="shared" si="0"/>
        <v>2290</v>
      </c>
      <c r="T23" s="26">
        <f t="shared" si="1"/>
        <v>924</v>
      </c>
      <c r="U23" s="26">
        <f t="shared" si="2"/>
        <v>3.24</v>
      </c>
      <c r="V23" s="49" t="s">
        <v>62</v>
      </c>
      <c r="W23" s="7">
        <v>180</v>
      </c>
    </row>
    <row r="24" spans="5:23" ht="16.5" thickBot="1" x14ac:dyDescent="0.3">
      <c r="E24">
        <v>16</v>
      </c>
      <c r="F24" s="46">
        <v>45540</v>
      </c>
      <c r="G24" s="40" t="s">
        <v>40</v>
      </c>
      <c r="H24" s="37" t="s">
        <v>63</v>
      </c>
      <c r="I24" s="7">
        <v>5</v>
      </c>
      <c r="J24" s="5" t="s">
        <v>21</v>
      </c>
      <c r="K24" s="3" t="s">
        <v>64</v>
      </c>
      <c r="L24" s="1">
        <v>100</v>
      </c>
      <c r="M24" s="30">
        <v>450</v>
      </c>
      <c r="N24" s="22">
        <v>238</v>
      </c>
      <c r="O24" s="33">
        <v>2.11</v>
      </c>
      <c r="P24" s="30">
        <v>487</v>
      </c>
      <c r="Q24" s="22">
        <v>267</v>
      </c>
      <c r="R24" s="33">
        <v>2.19</v>
      </c>
      <c r="S24" s="26">
        <f t="shared" si="0"/>
        <v>937</v>
      </c>
      <c r="T24" s="26">
        <f t="shared" si="1"/>
        <v>505</v>
      </c>
      <c r="U24" s="26">
        <f t="shared" si="2"/>
        <v>4.3</v>
      </c>
      <c r="V24" s="49" t="s">
        <v>65</v>
      </c>
      <c r="W24" s="7">
        <v>80</v>
      </c>
    </row>
    <row r="25" spans="5:23" ht="16.5" thickBot="1" x14ac:dyDescent="0.3">
      <c r="E25">
        <v>17</v>
      </c>
      <c r="F25" s="46">
        <v>45540</v>
      </c>
      <c r="G25" s="40" t="s">
        <v>36</v>
      </c>
      <c r="H25" s="37" t="s">
        <v>66</v>
      </c>
      <c r="I25" s="7">
        <v>7</v>
      </c>
      <c r="J25" s="5" t="s">
        <v>21</v>
      </c>
      <c r="K25" s="3" t="s">
        <v>67</v>
      </c>
      <c r="L25" s="1">
        <v>150</v>
      </c>
      <c r="M25" s="30">
        <v>729</v>
      </c>
      <c r="N25" s="22">
        <v>314</v>
      </c>
      <c r="O25" s="33">
        <v>1.75</v>
      </c>
      <c r="P25" s="30">
        <v>707</v>
      </c>
      <c r="Q25" s="22">
        <v>325</v>
      </c>
      <c r="R25" s="33">
        <v>1.84</v>
      </c>
      <c r="S25" s="26">
        <f t="shared" si="0"/>
        <v>1436</v>
      </c>
      <c r="T25" s="26">
        <f t="shared" si="1"/>
        <v>639</v>
      </c>
      <c r="U25" s="26">
        <f t="shared" si="2"/>
        <v>3.59</v>
      </c>
      <c r="V25" s="49" t="s">
        <v>68</v>
      </c>
      <c r="W25" s="7">
        <v>120</v>
      </c>
    </row>
    <row r="26" spans="5:23" ht="16.5" thickBot="1" x14ac:dyDescent="0.3">
      <c r="E26">
        <v>18</v>
      </c>
      <c r="F26" s="46">
        <v>45540</v>
      </c>
      <c r="G26" s="40" t="s">
        <v>40</v>
      </c>
      <c r="H26" s="37" t="s">
        <v>69</v>
      </c>
      <c r="I26" s="7">
        <v>6</v>
      </c>
      <c r="J26" s="5" t="s">
        <v>30</v>
      </c>
      <c r="K26" s="3" t="s">
        <v>70</v>
      </c>
      <c r="L26" s="1">
        <v>200</v>
      </c>
      <c r="M26" s="30">
        <v>883</v>
      </c>
      <c r="N26" s="22">
        <v>377</v>
      </c>
      <c r="O26" s="33">
        <v>1.71</v>
      </c>
      <c r="P26" s="30">
        <v>790</v>
      </c>
      <c r="Q26" s="22">
        <v>329</v>
      </c>
      <c r="R26" s="33">
        <v>1.67</v>
      </c>
      <c r="S26" s="26">
        <f t="shared" si="0"/>
        <v>1673</v>
      </c>
      <c r="T26" s="26">
        <f t="shared" si="1"/>
        <v>706</v>
      </c>
      <c r="U26" s="26">
        <f t="shared" si="2"/>
        <v>3.38</v>
      </c>
      <c r="V26" s="49" t="s">
        <v>71</v>
      </c>
      <c r="W26" s="7">
        <v>160</v>
      </c>
    </row>
    <row r="27" spans="5:23" ht="16.5" thickBot="1" x14ac:dyDescent="0.3">
      <c r="E27">
        <v>19</v>
      </c>
      <c r="F27" s="46">
        <v>45540</v>
      </c>
      <c r="G27" s="40" t="s">
        <v>36</v>
      </c>
      <c r="H27" s="37" t="s">
        <v>72</v>
      </c>
      <c r="I27" s="7">
        <v>6</v>
      </c>
      <c r="J27" s="5" t="s">
        <v>30</v>
      </c>
      <c r="K27" s="3" t="s">
        <v>73</v>
      </c>
      <c r="L27" s="1">
        <v>190</v>
      </c>
      <c r="M27" s="30">
        <v>781</v>
      </c>
      <c r="N27" s="22">
        <v>380</v>
      </c>
      <c r="O27" s="33">
        <v>1.95</v>
      </c>
      <c r="P27" s="30">
        <v>821</v>
      </c>
      <c r="Q27" s="22">
        <v>410</v>
      </c>
      <c r="R27" s="33">
        <v>2</v>
      </c>
      <c r="S27" s="26">
        <f t="shared" si="0"/>
        <v>1602</v>
      </c>
      <c r="T27" s="26">
        <f t="shared" si="1"/>
        <v>790</v>
      </c>
      <c r="U27" s="26">
        <f t="shared" si="2"/>
        <v>3.95</v>
      </c>
      <c r="V27" s="49" t="s">
        <v>74</v>
      </c>
      <c r="W27" s="7">
        <v>152</v>
      </c>
    </row>
    <row r="28" spans="5:23" ht="16.5" thickBot="1" x14ac:dyDescent="0.3">
      <c r="E28">
        <v>20</v>
      </c>
      <c r="F28" s="46">
        <v>45540</v>
      </c>
      <c r="G28" s="40" t="s">
        <v>40</v>
      </c>
      <c r="H28" s="37" t="s">
        <v>75</v>
      </c>
      <c r="I28" s="7">
        <v>5</v>
      </c>
      <c r="J28" s="5" t="s">
        <v>21</v>
      </c>
      <c r="K28" s="3" t="s">
        <v>76</v>
      </c>
      <c r="L28" s="1">
        <v>185</v>
      </c>
      <c r="M28" s="30">
        <v>695</v>
      </c>
      <c r="N28" s="22">
        <v>348</v>
      </c>
      <c r="O28" s="33">
        <v>2</v>
      </c>
      <c r="P28" s="30">
        <v>708</v>
      </c>
      <c r="Q28" s="22">
        <v>340</v>
      </c>
      <c r="R28" s="33">
        <v>1.92</v>
      </c>
      <c r="S28" s="26">
        <f t="shared" si="0"/>
        <v>1403</v>
      </c>
      <c r="T28" s="26">
        <f t="shared" si="1"/>
        <v>688</v>
      </c>
      <c r="U28" s="26">
        <f t="shared" si="2"/>
        <v>3.92</v>
      </c>
      <c r="V28" s="49" t="s">
        <v>68</v>
      </c>
      <c r="W28" s="7">
        <v>148</v>
      </c>
    </row>
    <row r="29" spans="5:23" ht="16.5" thickBot="1" x14ac:dyDescent="0.3">
      <c r="E29">
        <v>21</v>
      </c>
      <c r="F29" s="46">
        <v>45540</v>
      </c>
      <c r="G29" s="40" t="s">
        <v>36</v>
      </c>
      <c r="H29" s="37" t="s">
        <v>77</v>
      </c>
      <c r="I29" s="7">
        <v>6</v>
      </c>
      <c r="J29" s="5" t="s">
        <v>78</v>
      </c>
      <c r="K29" s="3" t="s">
        <v>31</v>
      </c>
      <c r="L29" s="1">
        <v>135</v>
      </c>
      <c r="M29" s="30">
        <v>659</v>
      </c>
      <c r="N29" s="22">
        <v>308</v>
      </c>
      <c r="O29" s="33">
        <v>1.87</v>
      </c>
      <c r="P29" s="30">
        <v>661</v>
      </c>
      <c r="Q29" s="22">
        <v>328</v>
      </c>
      <c r="R29" s="33">
        <v>1.98</v>
      </c>
      <c r="S29" s="26">
        <f t="shared" si="0"/>
        <v>1320</v>
      </c>
      <c r="T29" s="26">
        <f t="shared" si="1"/>
        <v>636</v>
      </c>
      <c r="U29" s="26">
        <f t="shared" si="2"/>
        <v>3.85</v>
      </c>
      <c r="V29" s="49" t="s">
        <v>79</v>
      </c>
      <c r="W29" s="7">
        <v>108</v>
      </c>
    </row>
    <row r="30" spans="5:23" ht="16.5" thickBot="1" x14ac:dyDescent="0.3">
      <c r="E30">
        <v>22</v>
      </c>
      <c r="F30" s="46">
        <v>45540</v>
      </c>
      <c r="G30" s="40" t="s">
        <v>40</v>
      </c>
      <c r="H30" s="37" t="s">
        <v>80</v>
      </c>
      <c r="I30" s="7">
        <v>6</v>
      </c>
      <c r="J30" s="5" t="s">
        <v>21</v>
      </c>
      <c r="K30" s="3" t="s">
        <v>22</v>
      </c>
      <c r="L30" s="1">
        <v>200</v>
      </c>
      <c r="M30" s="30">
        <v>864</v>
      </c>
      <c r="N30" s="22">
        <v>316</v>
      </c>
      <c r="O30" s="33">
        <v>1.46</v>
      </c>
      <c r="P30" s="30">
        <v>788</v>
      </c>
      <c r="Q30" s="22">
        <v>318</v>
      </c>
      <c r="R30" s="33">
        <v>1.61</v>
      </c>
      <c r="S30" s="26">
        <f t="shared" si="0"/>
        <v>1652</v>
      </c>
      <c r="T30" s="26">
        <f t="shared" si="1"/>
        <v>634</v>
      </c>
      <c r="U30" s="26">
        <f t="shared" si="2"/>
        <v>3.0700000000000003</v>
      </c>
      <c r="V30" s="49" t="s">
        <v>79</v>
      </c>
      <c r="W30" s="7">
        <v>160</v>
      </c>
    </row>
    <row r="31" spans="5:23" ht="16.5" thickBot="1" x14ac:dyDescent="0.3">
      <c r="E31">
        <v>23</v>
      </c>
      <c r="F31" s="46">
        <v>45541</v>
      </c>
      <c r="G31" s="40" t="s">
        <v>25</v>
      </c>
      <c r="H31" s="37" t="s">
        <v>81</v>
      </c>
      <c r="I31" s="7">
        <v>5</v>
      </c>
      <c r="J31" s="5" t="s">
        <v>78</v>
      </c>
      <c r="K31" s="3" t="s">
        <v>22</v>
      </c>
      <c r="L31" s="1">
        <v>185</v>
      </c>
      <c r="M31" s="30">
        <v>747</v>
      </c>
      <c r="N31" s="22">
        <v>293</v>
      </c>
      <c r="O31" s="33">
        <v>1.57</v>
      </c>
      <c r="P31" s="30">
        <v>752</v>
      </c>
      <c r="Q31" s="22">
        <v>303</v>
      </c>
      <c r="R31" s="33">
        <v>1.61</v>
      </c>
      <c r="S31" s="26">
        <f t="shared" si="0"/>
        <v>1499</v>
      </c>
      <c r="T31" s="26">
        <f t="shared" si="1"/>
        <v>596</v>
      </c>
      <c r="U31" s="26">
        <f t="shared" si="2"/>
        <v>3.18</v>
      </c>
      <c r="V31" s="49" t="s">
        <v>68</v>
      </c>
      <c r="W31" s="7">
        <v>148</v>
      </c>
    </row>
    <row r="32" spans="5:23" ht="16.5" thickBot="1" x14ac:dyDescent="0.3">
      <c r="E32">
        <v>24</v>
      </c>
      <c r="F32" s="46">
        <v>45541</v>
      </c>
      <c r="G32" s="40" t="s">
        <v>19</v>
      </c>
      <c r="H32" s="37" t="s">
        <v>82</v>
      </c>
      <c r="I32" s="7">
        <v>3</v>
      </c>
      <c r="J32" s="5" t="s">
        <v>21</v>
      </c>
      <c r="K32" s="3" t="s">
        <v>83</v>
      </c>
      <c r="L32" s="1">
        <v>100</v>
      </c>
      <c r="M32" s="30">
        <v>485</v>
      </c>
      <c r="N32" s="22">
        <v>222</v>
      </c>
      <c r="O32" s="33">
        <v>1.83</v>
      </c>
      <c r="P32" s="30">
        <v>523</v>
      </c>
      <c r="Q32" s="22">
        <v>244</v>
      </c>
      <c r="R32" s="33">
        <v>1.87</v>
      </c>
      <c r="S32" s="26">
        <f t="shared" si="0"/>
        <v>1008</v>
      </c>
      <c r="T32" s="26">
        <f t="shared" si="1"/>
        <v>466</v>
      </c>
      <c r="U32" s="26">
        <f t="shared" si="2"/>
        <v>3.7</v>
      </c>
      <c r="V32" s="49" t="s">
        <v>84</v>
      </c>
      <c r="W32" s="7">
        <v>80</v>
      </c>
    </row>
    <row r="33" spans="5:23" ht="16.5" thickBot="1" x14ac:dyDescent="0.3">
      <c r="E33">
        <v>25</v>
      </c>
      <c r="F33" s="46">
        <v>45541</v>
      </c>
      <c r="G33" s="40" t="s">
        <v>25</v>
      </c>
      <c r="H33" s="37" t="s">
        <v>85</v>
      </c>
      <c r="I33" s="7">
        <v>5</v>
      </c>
      <c r="J33" s="5" t="s">
        <v>30</v>
      </c>
      <c r="K33" s="3" t="s">
        <v>86</v>
      </c>
      <c r="L33" s="1">
        <v>105</v>
      </c>
      <c r="M33" s="30">
        <v>543</v>
      </c>
      <c r="N33" s="22">
        <v>197</v>
      </c>
      <c r="O33" s="33">
        <v>1.45</v>
      </c>
      <c r="P33" s="30">
        <v>557</v>
      </c>
      <c r="Q33" s="22">
        <v>205</v>
      </c>
      <c r="R33" s="33">
        <v>1.47</v>
      </c>
      <c r="S33" s="26">
        <f t="shared" si="0"/>
        <v>1100</v>
      </c>
      <c r="T33" s="26">
        <f t="shared" si="1"/>
        <v>402</v>
      </c>
      <c r="U33" s="26">
        <f t="shared" si="2"/>
        <v>2.92</v>
      </c>
      <c r="V33" s="49" t="s">
        <v>43</v>
      </c>
      <c r="W33" s="7">
        <v>84</v>
      </c>
    </row>
    <row r="34" spans="5:23" ht="16.5" thickBot="1" x14ac:dyDescent="0.3">
      <c r="E34">
        <v>26</v>
      </c>
      <c r="F34" s="46">
        <v>45541</v>
      </c>
      <c r="G34" s="40" t="s">
        <v>19</v>
      </c>
      <c r="H34" s="37" t="s">
        <v>87</v>
      </c>
      <c r="I34" s="7">
        <v>6</v>
      </c>
      <c r="J34" s="5" t="s">
        <v>21</v>
      </c>
      <c r="K34" s="3" t="s">
        <v>88</v>
      </c>
      <c r="L34" s="1">
        <v>125</v>
      </c>
      <c r="M34" s="30">
        <v>754</v>
      </c>
      <c r="N34" s="22">
        <v>194</v>
      </c>
      <c r="O34" s="33">
        <v>1.03</v>
      </c>
      <c r="P34" s="30">
        <v>822</v>
      </c>
      <c r="Q34" s="22">
        <v>209</v>
      </c>
      <c r="R34" s="33">
        <v>1.02</v>
      </c>
      <c r="S34" s="26">
        <f t="shared" si="0"/>
        <v>1576</v>
      </c>
      <c r="T34" s="26">
        <f t="shared" si="1"/>
        <v>403</v>
      </c>
      <c r="U34" s="26">
        <f t="shared" si="2"/>
        <v>2.0499999999999998</v>
      </c>
      <c r="V34" s="49" t="s">
        <v>89</v>
      </c>
      <c r="W34" s="7">
        <v>100</v>
      </c>
    </row>
    <row r="35" spans="5:23" ht="16.5" thickBot="1" x14ac:dyDescent="0.3">
      <c r="E35">
        <v>27</v>
      </c>
      <c r="F35" s="46">
        <v>45541</v>
      </c>
      <c r="G35" s="40" t="s">
        <v>25</v>
      </c>
      <c r="H35" s="37" t="s">
        <v>90</v>
      </c>
      <c r="I35" s="7">
        <v>6</v>
      </c>
      <c r="J35" s="5" t="s">
        <v>30</v>
      </c>
      <c r="K35" s="3" t="s">
        <v>70</v>
      </c>
      <c r="L35" s="1">
        <v>215</v>
      </c>
      <c r="M35" s="30">
        <v>841</v>
      </c>
      <c r="N35" s="22">
        <v>345</v>
      </c>
      <c r="O35" s="33">
        <v>1.56</v>
      </c>
      <c r="P35" s="30">
        <v>883</v>
      </c>
      <c r="Q35" s="22">
        <v>343</v>
      </c>
      <c r="R35" s="33">
        <v>1.55</v>
      </c>
      <c r="S35" s="26">
        <f t="shared" si="0"/>
        <v>1724</v>
      </c>
      <c r="T35" s="26">
        <f t="shared" si="1"/>
        <v>688</v>
      </c>
      <c r="U35" s="26">
        <f t="shared" si="2"/>
        <v>3.1100000000000003</v>
      </c>
      <c r="V35" s="49" t="s">
        <v>74</v>
      </c>
      <c r="W35" s="7">
        <v>172</v>
      </c>
    </row>
    <row r="36" spans="5:23" ht="16.5" thickBot="1" x14ac:dyDescent="0.3">
      <c r="E36">
        <v>28</v>
      </c>
      <c r="F36" s="46">
        <v>45541</v>
      </c>
      <c r="G36" s="40" t="s">
        <v>19</v>
      </c>
      <c r="H36" s="37" t="s">
        <v>91</v>
      </c>
      <c r="I36" s="7">
        <v>4</v>
      </c>
      <c r="J36" s="5" t="s">
        <v>21</v>
      </c>
      <c r="K36" s="3" t="s">
        <v>92</v>
      </c>
      <c r="L36" s="1">
        <v>180</v>
      </c>
      <c r="M36" s="30">
        <v>793</v>
      </c>
      <c r="N36" s="22">
        <v>375</v>
      </c>
      <c r="O36" s="33">
        <v>1.89</v>
      </c>
      <c r="P36" s="30">
        <v>852</v>
      </c>
      <c r="Q36" s="22">
        <v>497</v>
      </c>
      <c r="R36" s="33">
        <v>1.91</v>
      </c>
      <c r="S36" s="26">
        <f t="shared" si="0"/>
        <v>1645</v>
      </c>
      <c r="T36" s="26">
        <f t="shared" si="1"/>
        <v>872</v>
      </c>
      <c r="U36" s="26">
        <f t="shared" si="2"/>
        <v>3.8</v>
      </c>
      <c r="V36" s="49" t="s">
        <v>89</v>
      </c>
      <c r="W36" s="7">
        <v>144</v>
      </c>
    </row>
    <row r="37" spans="5:23" ht="16.5" thickBot="1" x14ac:dyDescent="0.3">
      <c r="E37">
        <v>29</v>
      </c>
      <c r="F37" s="46">
        <v>45544</v>
      </c>
      <c r="G37" s="40" t="s">
        <v>25</v>
      </c>
      <c r="H37" s="37" t="s">
        <v>93</v>
      </c>
      <c r="I37" s="7">
        <v>6</v>
      </c>
      <c r="J37" s="5" t="s">
        <v>21</v>
      </c>
      <c r="K37" s="3" t="s">
        <v>22</v>
      </c>
      <c r="L37" s="1">
        <v>155</v>
      </c>
      <c r="M37" s="30">
        <v>822</v>
      </c>
      <c r="N37" s="22">
        <v>380</v>
      </c>
      <c r="O37" s="33">
        <v>1.85</v>
      </c>
      <c r="P37" s="30">
        <v>895</v>
      </c>
      <c r="Q37" s="22">
        <v>430</v>
      </c>
      <c r="R37" s="33">
        <v>1.92</v>
      </c>
      <c r="S37" s="26">
        <f t="shared" si="0"/>
        <v>1717</v>
      </c>
      <c r="T37" s="26">
        <f t="shared" si="1"/>
        <v>810</v>
      </c>
      <c r="U37" s="26">
        <f>O37+R37</f>
        <v>3.77</v>
      </c>
      <c r="V37" s="49" t="s">
        <v>94</v>
      </c>
      <c r="W37" s="7">
        <v>124</v>
      </c>
    </row>
    <row r="38" spans="5:23" ht="16.5" thickBot="1" x14ac:dyDescent="0.3">
      <c r="E38">
        <v>30</v>
      </c>
      <c r="F38" s="46">
        <v>45544</v>
      </c>
      <c r="G38" s="40" t="s">
        <v>54</v>
      </c>
      <c r="H38" s="37" t="s">
        <v>95</v>
      </c>
      <c r="I38" s="7">
        <v>6</v>
      </c>
      <c r="J38" s="5" t="s">
        <v>21</v>
      </c>
      <c r="K38" s="3" t="s">
        <v>96</v>
      </c>
      <c r="L38" s="1">
        <v>250</v>
      </c>
      <c r="M38" s="30">
        <v>1109</v>
      </c>
      <c r="N38" s="22">
        <v>425</v>
      </c>
      <c r="O38" s="33">
        <v>1.53</v>
      </c>
      <c r="P38" s="30">
        <v>1198</v>
      </c>
      <c r="Q38" s="22">
        <v>456</v>
      </c>
      <c r="R38" s="33">
        <v>1.52</v>
      </c>
      <c r="S38" s="26">
        <f t="shared" si="0"/>
        <v>2307</v>
      </c>
      <c r="T38" s="26">
        <f t="shared" si="1"/>
        <v>881</v>
      </c>
      <c r="U38" s="26">
        <f>O37+R38</f>
        <v>3.37</v>
      </c>
      <c r="V38" s="49" t="s">
        <v>97</v>
      </c>
      <c r="W38" s="7">
        <v>200</v>
      </c>
    </row>
    <row r="39" spans="5:23" ht="16.5" thickBot="1" x14ac:dyDescent="0.3">
      <c r="E39">
        <v>31</v>
      </c>
      <c r="F39" s="46">
        <v>45544</v>
      </c>
      <c r="G39" s="40" t="s">
        <v>25</v>
      </c>
      <c r="H39" s="37" t="s">
        <v>98</v>
      </c>
      <c r="I39" s="7">
        <v>5</v>
      </c>
      <c r="J39" s="5" t="s">
        <v>21</v>
      </c>
      <c r="K39" s="3" t="s">
        <v>22</v>
      </c>
      <c r="L39" s="1">
        <v>135</v>
      </c>
      <c r="M39" s="30">
        <v>824</v>
      </c>
      <c r="N39" s="22">
        <v>171</v>
      </c>
      <c r="O39" s="33">
        <v>0.83</v>
      </c>
      <c r="P39" s="30">
        <v>1146</v>
      </c>
      <c r="Q39" s="22">
        <v>199</v>
      </c>
      <c r="R39" s="33">
        <v>0.69</v>
      </c>
      <c r="S39" s="26">
        <f t="shared" si="0"/>
        <v>1970</v>
      </c>
      <c r="T39" s="26">
        <f t="shared" si="1"/>
        <v>370</v>
      </c>
      <c r="U39" s="26">
        <f t="shared" si="2"/>
        <v>1.52</v>
      </c>
      <c r="V39" s="49" t="s">
        <v>99</v>
      </c>
      <c r="W39" s="7">
        <v>108</v>
      </c>
    </row>
    <row r="40" spans="5:23" ht="16.5" thickBot="1" x14ac:dyDescent="0.3">
      <c r="E40">
        <v>32</v>
      </c>
      <c r="F40" s="46">
        <v>45544</v>
      </c>
      <c r="G40" s="40" t="s">
        <v>54</v>
      </c>
      <c r="H40" s="37" t="s">
        <v>100</v>
      </c>
      <c r="I40" s="7">
        <v>4</v>
      </c>
      <c r="J40" s="5" t="s">
        <v>21</v>
      </c>
      <c r="K40" s="3" t="s">
        <v>42</v>
      </c>
      <c r="L40" s="1">
        <v>125</v>
      </c>
      <c r="M40" s="30">
        <v>571</v>
      </c>
      <c r="N40" s="22">
        <v>298</v>
      </c>
      <c r="O40" s="33">
        <v>2.09</v>
      </c>
      <c r="P40" s="30">
        <v>621</v>
      </c>
      <c r="Q40" s="22">
        <v>341</v>
      </c>
      <c r="R40" s="33">
        <v>2.2000000000000002</v>
      </c>
      <c r="S40" s="26">
        <f t="shared" si="0"/>
        <v>1192</v>
      </c>
      <c r="T40" s="26">
        <f t="shared" si="1"/>
        <v>639</v>
      </c>
      <c r="U40" s="26">
        <f t="shared" si="2"/>
        <v>4.29</v>
      </c>
      <c r="V40" s="49" t="s">
        <v>97</v>
      </c>
      <c r="W40" s="7">
        <v>100</v>
      </c>
    </row>
    <row r="41" spans="5:23" ht="16.5" thickBot="1" x14ac:dyDescent="0.3">
      <c r="E41">
        <v>33</v>
      </c>
      <c r="F41" s="46">
        <v>45544</v>
      </c>
      <c r="G41" s="40" t="s">
        <v>25</v>
      </c>
      <c r="H41" s="37" t="s">
        <v>101</v>
      </c>
      <c r="I41" s="7">
        <v>4</v>
      </c>
      <c r="J41" s="5" t="s">
        <v>51</v>
      </c>
      <c r="K41" s="3" t="s">
        <v>92</v>
      </c>
      <c r="L41" s="1">
        <v>125</v>
      </c>
      <c r="M41" s="30">
        <v>607</v>
      </c>
      <c r="N41" s="22">
        <v>299</v>
      </c>
      <c r="O41" s="33">
        <v>1.97</v>
      </c>
      <c r="P41" s="30">
        <v>544</v>
      </c>
      <c r="Q41" s="22">
        <v>299</v>
      </c>
      <c r="R41" s="33">
        <v>2.0099999999999998</v>
      </c>
      <c r="S41" s="26">
        <f t="shared" si="0"/>
        <v>1151</v>
      </c>
      <c r="T41" s="26">
        <f t="shared" si="1"/>
        <v>598</v>
      </c>
      <c r="U41" s="26">
        <f t="shared" si="2"/>
        <v>3.9799999999999995</v>
      </c>
      <c r="V41" s="49" t="s">
        <v>102</v>
      </c>
      <c r="W41" s="7">
        <v>100</v>
      </c>
    </row>
    <row r="42" spans="5:23" ht="16.5" thickBot="1" x14ac:dyDescent="0.3">
      <c r="E42">
        <v>34</v>
      </c>
      <c r="F42" s="46">
        <v>45544</v>
      </c>
      <c r="G42" s="40" t="s">
        <v>54</v>
      </c>
      <c r="H42" s="37" t="s">
        <v>103</v>
      </c>
      <c r="I42" s="7">
        <v>7</v>
      </c>
      <c r="J42" s="5" t="s">
        <v>21</v>
      </c>
      <c r="K42" s="3" t="s">
        <v>104</v>
      </c>
      <c r="L42" s="1">
        <v>330</v>
      </c>
      <c r="M42" s="30">
        <v>1387</v>
      </c>
      <c r="N42" s="22">
        <v>873</v>
      </c>
      <c r="O42" s="33">
        <v>2.52</v>
      </c>
      <c r="P42" s="30">
        <v>1410</v>
      </c>
      <c r="Q42" s="22">
        <v>967</v>
      </c>
      <c r="R42" s="33">
        <v>2.74</v>
      </c>
      <c r="S42" s="26">
        <f t="shared" si="0"/>
        <v>2797</v>
      </c>
      <c r="T42" s="26">
        <f t="shared" si="1"/>
        <v>1840</v>
      </c>
      <c r="U42" s="26">
        <f t="shared" si="2"/>
        <v>5.26</v>
      </c>
      <c r="V42" s="49" t="s">
        <v>105</v>
      </c>
      <c r="W42" s="7">
        <v>264</v>
      </c>
    </row>
    <row r="43" spans="5:23" ht="16.5" thickBot="1" x14ac:dyDescent="0.3">
      <c r="E43">
        <v>35</v>
      </c>
      <c r="F43" s="46">
        <v>45545</v>
      </c>
      <c r="G43" s="40" t="s">
        <v>36</v>
      </c>
      <c r="H43" s="37" t="s">
        <v>106</v>
      </c>
      <c r="I43" s="7">
        <v>7</v>
      </c>
      <c r="J43" s="5" t="s">
        <v>21</v>
      </c>
      <c r="K43" s="3" t="s">
        <v>34</v>
      </c>
      <c r="L43" s="1">
        <v>220</v>
      </c>
      <c r="M43" s="30">
        <v>1208</v>
      </c>
      <c r="N43" s="22">
        <v>600</v>
      </c>
      <c r="O43" s="33">
        <v>1.99</v>
      </c>
      <c r="P43" s="30">
        <v>1280</v>
      </c>
      <c r="Q43" s="22">
        <v>725</v>
      </c>
      <c r="R43" s="33">
        <v>2.2599999999999998</v>
      </c>
      <c r="S43" s="26">
        <f t="shared" si="0"/>
        <v>2488</v>
      </c>
      <c r="T43" s="26">
        <f t="shared" si="1"/>
        <v>1325</v>
      </c>
      <c r="U43" s="26">
        <f t="shared" si="2"/>
        <v>4.25</v>
      </c>
      <c r="V43" s="49" t="s">
        <v>99</v>
      </c>
      <c r="W43" s="7">
        <v>176</v>
      </c>
    </row>
    <row r="44" spans="5:23" ht="16.5" thickBot="1" x14ac:dyDescent="0.3">
      <c r="E44">
        <v>36</v>
      </c>
      <c r="F44" s="46">
        <v>45545</v>
      </c>
      <c r="G44" s="40" t="s">
        <v>40</v>
      </c>
      <c r="H44" s="37" t="s">
        <v>107</v>
      </c>
      <c r="I44" s="7">
        <v>5</v>
      </c>
      <c r="J44" s="5" t="s">
        <v>21</v>
      </c>
      <c r="K44" s="3" t="s">
        <v>92</v>
      </c>
      <c r="L44" s="1">
        <v>110</v>
      </c>
      <c r="M44" s="30">
        <v>539</v>
      </c>
      <c r="N44" s="22">
        <v>231</v>
      </c>
      <c r="O44" s="33">
        <v>1.71</v>
      </c>
      <c r="P44" s="30">
        <v>503</v>
      </c>
      <c r="Q44" s="22">
        <v>229</v>
      </c>
      <c r="R44" s="33">
        <v>1.82</v>
      </c>
      <c r="S44" s="26">
        <f t="shared" si="0"/>
        <v>1042</v>
      </c>
      <c r="T44" s="26">
        <f t="shared" si="1"/>
        <v>460</v>
      </c>
      <c r="U44" s="26">
        <f t="shared" si="2"/>
        <v>3.5300000000000002</v>
      </c>
      <c r="V44" s="49" t="s">
        <v>108</v>
      </c>
      <c r="W44" s="7">
        <v>88</v>
      </c>
    </row>
    <row r="45" spans="5:23" ht="16.5" thickBot="1" x14ac:dyDescent="0.3">
      <c r="E45">
        <v>37</v>
      </c>
      <c r="F45" s="46">
        <v>45545</v>
      </c>
      <c r="G45" s="40" t="s">
        <v>40</v>
      </c>
      <c r="H45" s="37" t="s">
        <v>109</v>
      </c>
      <c r="I45" s="7">
        <v>8</v>
      </c>
      <c r="J45" s="5" t="s">
        <v>21</v>
      </c>
      <c r="K45" s="3" t="s">
        <v>110</v>
      </c>
      <c r="L45" s="1">
        <v>240</v>
      </c>
      <c r="M45" s="30">
        <v>983</v>
      </c>
      <c r="N45" s="22">
        <v>414</v>
      </c>
      <c r="O45" s="33">
        <v>1.68</v>
      </c>
      <c r="P45" s="30">
        <v>1065</v>
      </c>
      <c r="Q45" s="22">
        <v>406</v>
      </c>
      <c r="R45" s="33">
        <v>1.75</v>
      </c>
      <c r="S45" s="26">
        <f t="shared" si="0"/>
        <v>2048</v>
      </c>
      <c r="T45" s="26">
        <f t="shared" si="1"/>
        <v>820</v>
      </c>
      <c r="U45" s="26">
        <f t="shared" si="2"/>
        <v>3.4299999999999997</v>
      </c>
      <c r="V45" s="49" t="s">
        <v>111</v>
      </c>
      <c r="W45" s="7">
        <v>192</v>
      </c>
    </row>
    <row r="46" spans="5:23" ht="16.5" thickBot="1" x14ac:dyDescent="0.3">
      <c r="E46">
        <v>38</v>
      </c>
      <c r="F46" s="46">
        <v>45546</v>
      </c>
      <c r="G46" s="40" t="s">
        <v>25</v>
      </c>
      <c r="H46" s="37" t="s">
        <v>112</v>
      </c>
      <c r="I46" s="7">
        <v>6</v>
      </c>
      <c r="J46" s="5" t="s">
        <v>21</v>
      </c>
      <c r="K46" s="3" t="s">
        <v>56</v>
      </c>
      <c r="L46" s="1">
        <v>152</v>
      </c>
      <c r="M46" s="30">
        <v>911</v>
      </c>
      <c r="N46" s="22">
        <v>197</v>
      </c>
      <c r="O46" s="33">
        <v>0.86</v>
      </c>
      <c r="P46" s="30">
        <v>958</v>
      </c>
      <c r="Q46" s="22">
        <v>194</v>
      </c>
      <c r="R46" s="33">
        <v>0.81</v>
      </c>
      <c r="S46" s="26">
        <f t="shared" si="0"/>
        <v>1869</v>
      </c>
      <c r="T46" s="26">
        <f t="shared" si="1"/>
        <v>391</v>
      </c>
      <c r="U46" s="26">
        <f t="shared" si="2"/>
        <v>1.67</v>
      </c>
      <c r="V46" s="49" t="s">
        <v>99</v>
      </c>
      <c r="W46" s="7">
        <v>122</v>
      </c>
    </row>
    <row r="47" spans="5:23" ht="16.5" thickBot="1" x14ac:dyDescent="0.3">
      <c r="E47">
        <v>39</v>
      </c>
      <c r="F47" s="46">
        <v>45546</v>
      </c>
      <c r="G47" s="40" t="s">
        <v>25</v>
      </c>
      <c r="H47" s="37" t="s">
        <v>113</v>
      </c>
      <c r="I47" s="7">
        <v>5</v>
      </c>
      <c r="J47" s="5" t="s">
        <v>21</v>
      </c>
      <c r="K47" s="3" t="s">
        <v>27</v>
      </c>
      <c r="L47" s="1">
        <v>155</v>
      </c>
      <c r="M47" s="30">
        <v>659</v>
      </c>
      <c r="N47" s="22">
        <v>269</v>
      </c>
      <c r="O47" s="33">
        <v>1.63</v>
      </c>
      <c r="P47" s="30">
        <v>621</v>
      </c>
      <c r="Q47" s="22">
        <v>284</v>
      </c>
      <c r="R47" s="33">
        <v>1.83</v>
      </c>
      <c r="S47" s="26">
        <f t="shared" si="0"/>
        <v>1280</v>
      </c>
      <c r="T47" s="26">
        <f t="shared" si="1"/>
        <v>553</v>
      </c>
      <c r="U47" s="26">
        <f t="shared" si="2"/>
        <v>3.46</v>
      </c>
      <c r="V47" s="49" t="s">
        <v>114</v>
      </c>
      <c r="W47" s="7">
        <v>124</v>
      </c>
    </row>
    <row r="48" spans="5:23" x14ac:dyDescent="0.25">
      <c r="E48">
        <v>40</v>
      </c>
      <c r="F48" s="79">
        <v>45546</v>
      </c>
      <c r="G48" s="41" t="s">
        <v>25</v>
      </c>
      <c r="H48" s="38" t="s">
        <v>115</v>
      </c>
      <c r="I48" s="8">
        <v>5</v>
      </c>
      <c r="J48" s="6" t="s">
        <v>21</v>
      </c>
      <c r="K48" s="4" t="s">
        <v>22</v>
      </c>
      <c r="L48" s="2">
        <v>150</v>
      </c>
      <c r="M48" s="31">
        <v>645</v>
      </c>
      <c r="N48" s="23">
        <v>321</v>
      </c>
      <c r="O48" s="34">
        <v>1.99</v>
      </c>
      <c r="P48" s="31">
        <v>702</v>
      </c>
      <c r="Q48" s="23">
        <v>347</v>
      </c>
      <c r="R48" s="34">
        <v>1.98</v>
      </c>
      <c r="S48" s="26">
        <f t="shared" si="0"/>
        <v>1347</v>
      </c>
      <c r="T48" s="26">
        <f>N48+Q48</f>
        <v>668</v>
      </c>
      <c r="U48" s="26">
        <f t="shared" si="2"/>
        <v>3.9699999999999998</v>
      </c>
      <c r="V48" s="50" t="s">
        <v>116</v>
      </c>
      <c r="W48" s="8">
        <v>120</v>
      </c>
    </row>
    <row r="49" spans="5:23" x14ac:dyDescent="0.25">
      <c r="E49">
        <v>41</v>
      </c>
      <c r="F49" s="79">
        <v>45546</v>
      </c>
      <c r="G49" s="41" t="s">
        <v>54</v>
      </c>
      <c r="H49" s="38" t="s">
        <v>117</v>
      </c>
      <c r="I49" s="8">
        <v>7</v>
      </c>
      <c r="J49" s="6" t="s">
        <v>51</v>
      </c>
      <c r="K49" s="4" t="s">
        <v>118</v>
      </c>
      <c r="L49" s="2">
        <v>135</v>
      </c>
      <c r="M49" s="31">
        <v>573</v>
      </c>
      <c r="N49" s="23">
        <v>181</v>
      </c>
      <c r="O49" s="34">
        <v>1.26</v>
      </c>
      <c r="P49" s="31">
        <v>575</v>
      </c>
      <c r="Q49" s="23">
        <v>185</v>
      </c>
      <c r="R49" s="34">
        <v>1.29</v>
      </c>
      <c r="S49" s="26">
        <f t="shared" ref="S49:S73" si="3">M49+P49</f>
        <v>1148</v>
      </c>
      <c r="T49" s="26">
        <f t="shared" ref="T49:T73" si="4">N49+Q49</f>
        <v>366</v>
      </c>
      <c r="U49" s="26">
        <f t="shared" ref="U49:U73" si="5">O49+R49</f>
        <v>2.5499999999999998</v>
      </c>
      <c r="V49" s="50" t="s">
        <v>119</v>
      </c>
      <c r="W49" s="8">
        <v>108</v>
      </c>
    </row>
    <row r="50" spans="5:23" x14ac:dyDescent="0.25">
      <c r="E50">
        <v>42</v>
      </c>
      <c r="F50" s="79">
        <v>45546</v>
      </c>
      <c r="G50" s="41" t="s">
        <v>25</v>
      </c>
      <c r="H50" s="38" t="s">
        <v>120</v>
      </c>
      <c r="I50" s="8">
        <v>4</v>
      </c>
      <c r="J50" s="6" t="s">
        <v>21</v>
      </c>
      <c r="K50" s="4" t="s">
        <v>92</v>
      </c>
      <c r="L50" s="2">
        <v>145</v>
      </c>
      <c r="M50" s="31">
        <v>604</v>
      </c>
      <c r="N50" s="23">
        <v>197</v>
      </c>
      <c r="O50" s="34">
        <v>1.3</v>
      </c>
      <c r="P50" s="31">
        <v>600</v>
      </c>
      <c r="Q50" s="23">
        <v>226</v>
      </c>
      <c r="R50" s="34">
        <v>1.5</v>
      </c>
      <c r="S50" s="26">
        <f t="shared" si="3"/>
        <v>1204</v>
      </c>
      <c r="T50" s="26">
        <f t="shared" si="4"/>
        <v>423</v>
      </c>
      <c r="U50" s="26">
        <f t="shared" si="5"/>
        <v>2.8</v>
      </c>
      <c r="V50" s="50" t="s">
        <v>116</v>
      </c>
      <c r="W50" s="8">
        <v>116</v>
      </c>
    </row>
    <row r="51" spans="5:23" x14ac:dyDescent="0.25">
      <c r="E51">
        <v>43</v>
      </c>
      <c r="F51" s="79">
        <v>45546</v>
      </c>
      <c r="G51" s="41" t="s">
        <v>54</v>
      </c>
      <c r="H51" s="38" t="s">
        <v>121</v>
      </c>
      <c r="I51" s="8">
        <v>6</v>
      </c>
      <c r="J51" s="6" t="s">
        <v>122</v>
      </c>
      <c r="K51" s="4" t="s">
        <v>96</v>
      </c>
      <c r="L51" s="2">
        <v>180</v>
      </c>
      <c r="M51" s="31">
        <v>787</v>
      </c>
      <c r="N51" s="23">
        <v>418</v>
      </c>
      <c r="O51" s="34">
        <v>2.13</v>
      </c>
      <c r="P51" s="31">
        <v>850</v>
      </c>
      <c r="Q51" s="23">
        <v>453</v>
      </c>
      <c r="R51" s="34">
        <v>2.13</v>
      </c>
      <c r="S51" s="26">
        <f t="shared" si="3"/>
        <v>1637</v>
      </c>
      <c r="T51" s="26">
        <f t="shared" si="4"/>
        <v>871</v>
      </c>
      <c r="U51" s="26">
        <f t="shared" si="5"/>
        <v>4.26</v>
      </c>
      <c r="V51" s="50" t="s">
        <v>97</v>
      </c>
      <c r="W51" s="8">
        <v>144</v>
      </c>
    </row>
    <row r="52" spans="5:23" x14ac:dyDescent="0.25">
      <c r="E52">
        <v>44</v>
      </c>
      <c r="F52" s="80">
        <v>45547</v>
      </c>
      <c r="G52" s="41" t="s">
        <v>25</v>
      </c>
      <c r="H52" s="38" t="s">
        <v>123</v>
      </c>
      <c r="I52" s="8">
        <v>5</v>
      </c>
      <c r="J52" s="6" t="s">
        <v>21</v>
      </c>
      <c r="K52" s="4" t="s">
        <v>27</v>
      </c>
      <c r="L52" s="2">
        <v>150</v>
      </c>
      <c r="M52" s="31">
        <v>772</v>
      </c>
      <c r="N52" s="23">
        <v>278</v>
      </c>
      <c r="O52" s="34">
        <v>1.44</v>
      </c>
      <c r="P52" s="31">
        <v>799</v>
      </c>
      <c r="Q52" s="23">
        <v>293</v>
      </c>
      <c r="R52" s="34">
        <v>1.47</v>
      </c>
      <c r="S52" s="26">
        <f t="shared" si="3"/>
        <v>1571</v>
      </c>
      <c r="T52" s="26">
        <f t="shared" si="4"/>
        <v>571</v>
      </c>
      <c r="U52" s="26">
        <f t="shared" si="5"/>
        <v>2.91</v>
      </c>
      <c r="V52" s="50" t="s">
        <v>124</v>
      </c>
      <c r="W52" s="8">
        <v>120</v>
      </c>
    </row>
    <row r="53" spans="5:23" x14ac:dyDescent="0.25">
      <c r="E53">
        <v>45</v>
      </c>
      <c r="F53" s="79">
        <v>45547</v>
      </c>
      <c r="G53" s="41" t="s">
        <v>19</v>
      </c>
      <c r="H53" s="38" t="s">
        <v>125</v>
      </c>
      <c r="I53" s="8">
        <v>3</v>
      </c>
      <c r="J53" s="6" t="s">
        <v>21</v>
      </c>
      <c r="K53" s="4" t="s">
        <v>126</v>
      </c>
      <c r="L53" s="2">
        <v>141</v>
      </c>
      <c r="M53" s="31">
        <v>616</v>
      </c>
      <c r="N53" s="23">
        <v>294</v>
      </c>
      <c r="O53" s="34">
        <v>1.91</v>
      </c>
      <c r="P53" s="31">
        <v>671</v>
      </c>
      <c r="Q53" s="23">
        <v>309</v>
      </c>
      <c r="R53" s="34">
        <v>1.84</v>
      </c>
      <c r="S53" s="26">
        <f t="shared" si="3"/>
        <v>1287</v>
      </c>
      <c r="T53" s="26">
        <f t="shared" si="4"/>
        <v>603</v>
      </c>
      <c r="U53" s="26">
        <f t="shared" si="5"/>
        <v>3.75</v>
      </c>
      <c r="V53" s="50" t="s">
        <v>127</v>
      </c>
      <c r="W53" s="8">
        <v>113</v>
      </c>
    </row>
    <row r="54" spans="5:23" x14ac:dyDescent="0.25">
      <c r="E54">
        <v>46</v>
      </c>
      <c r="F54" s="79">
        <v>45547</v>
      </c>
      <c r="G54" s="41" t="s">
        <v>25</v>
      </c>
      <c r="H54" s="38" t="s">
        <v>128</v>
      </c>
      <c r="I54" s="8">
        <v>6</v>
      </c>
      <c r="J54" s="6" t="s">
        <v>122</v>
      </c>
      <c r="K54" s="4" t="s">
        <v>22</v>
      </c>
      <c r="L54" s="2">
        <v>130</v>
      </c>
      <c r="M54" s="31">
        <v>613</v>
      </c>
      <c r="N54" s="23">
        <v>210</v>
      </c>
      <c r="O54" s="34">
        <v>1.37</v>
      </c>
      <c r="P54" s="31">
        <v>691</v>
      </c>
      <c r="Q54" s="23">
        <v>236</v>
      </c>
      <c r="R54" s="34">
        <v>1.37</v>
      </c>
      <c r="S54" s="26">
        <f t="shared" si="3"/>
        <v>1304</v>
      </c>
      <c r="T54" s="26">
        <f t="shared" si="4"/>
        <v>446</v>
      </c>
      <c r="U54" s="26">
        <f t="shared" si="5"/>
        <v>2.74</v>
      </c>
      <c r="V54" s="50" t="s">
        <v>124</v>
      </c>
      <c r="W54" s="8">
        <v>104</v>
      </c>
    </row>
    <row r="55" spans="5:23" x14ac:dyDescent="0.25">
      <c r="E55">
        <v>47</v>
      </c>
      <c r="F55" s="79">
        <v>45547</v>
      </c>
      <c r="G55" s="41" t="s">
        <v>25</v>
      </c>
      <c r="H55" s="81" t="s">
        <v>129</v>
      </c>
      <c r="I55" s="8">
        <v>7</v>
      </c>
      <c r="J55" s="6" t="s">
        <v>21</v>
      </c>
      <c r="K55" s="4" t="s">
        <v>61</v>
      </c>
      <c r="L55" s="2">
        <v>210</v>
      </c>
      <c r="M55" s="31">
        <v>895</v>
      </c>
      <c r="N55" s="23">
        <v>345</v>
      </c>
      <c r="O55" s="34">
        <v>1.54</v>
      </c>
      <c r="P55" s="31">
        <v>977</v>
      </c>
      <c r="Q55" s="23">
        <v>360</v>
      </c>
      <c r="R55" s="34">
        <v>1.47</v>
      </c>
      <c r="S55" s="26">
        <f t="shared" si="3"/>
        <v>1872</v>
      </c>
      <c r="T55" s="26">
        <f t="shared" si="4"/>
        <v>705</v>
      </c>
      <c r="U55" s="26">
        <f t="shared" si="5"/>
        <v>3.01</v>
      </c>
      <c r="V55" s="50" t="s">
        <v>99</v>
      </c>
      <c r="W55" s="8">
        <v>168</v>
      </c>
    </row>
    <row r="56" spans="5:23" x14ac:dyDescent="0.25">
      <c r="E56">
        <v>48</v>
      </c>
      <c r="F56" s="79">
        <v>45547</v>
      </c>
      <c r="G56" s="41" t="s">
        <v>54</v>
      </c>
      <c r="H56" s="38" t="s">
        <v>130</v>
      </c>
      <c r="I56" s="8">
        <v>4</v>
      </c>
      <c r="J56" s="6" t="s">
        <v>21</v>
      </c>
      <c r="K56" s="4" t="s">
        <v>83</v>
      </c>
      <c r="L56" s="2">
        <v>110</v>
      </c>
      <c r="M56" s="31">
        <v>582</v>
      </c>
      <c r="N56" s="23">
        <v>215</v>
      </c>
      <c r="O56" s="34">
        <v>1.48</v>
      </c>
      <c r="P56" s="31">
        <v>590</v>
      </c>
      <c r="Q56" s="23">
        <v>224</v>
      </c>
      <c r="R56" s="34">
        <v>1.52</v>
      </c>
      <c r="S56" s="26">
        <f t="shared" si="3"/>
        <v>1172</v>
      </c>
      <c r="T56" s="26">
        <f t="shared" si="4"/>
        <v>439</v>
      </c>
      <c r="U56" s="26">
        <f t="shared" si="5"/>
        <v>3</v>
      </c>
      <c r="V56" s="50" t="s">
        <v>131</v>
      </c>
      <c r="W56" s="8">
        <v>88</v>
      </c>
    </row>
    <row r="57" spans="5:23" x14ac:dyDescent="0.25">
      <c r="E57">
        <v>49</v>
      </c>
      <c r="F57" s="79">
        <v>45547</v>
      </c>
      <c r="G57" s="41" t="s">
        <v>25</v>
      </c>
      <c r="H57" s="38" t="s">
        <v>132</v>
      </c>
      <c r="I57" s="8">
        <v>9</v>
      </c>
      <c r="J57" s="6" t="s">
        <v>51</v>
      </c>
      <c r="K57" s="4" t="s">
        <v>61</v>
      </c>
      <c r="L57" s="2">
        <v>280</v>
      </c>
      <c r="M57" s="31">
        <v>1250</v>
      </c>
      <c r="N57" s="23">
        <v>582</v>
      </c>
      <c r="O57" s="34">
        <v>1.86</v>
      </c>
      <c r="P57" s="31">
        <v>1293</v>
      </c>
      <c r="Q57" s="23">
        <v>642</v>
      </c>
      <c r="R57" s="34">
        <v>1.98</v>
      </c>
      <c r="S57" s="26">
        <f t="shared" si="3"/>
        <v>2543</v>
      </c>
      <c r="T57" s="26">
        <f t="shared" si="4"/>
        <v>1224</v>
      </c>
      <c r="U57" s="26">
        <f t="shared" si="5"/>
        <v>3.84</v>
      </c>
      <c r="V57" s="50" t="s">
        <v>133</v>
      </c>
      <c r="W57" s="8">
        <v>224</v>
      </c>
    </row>
    <row r="58" spans="5:23" x14ac:dyDescent="0.25">
      <c r="E58">
        <v>50</v>
      </c>
      <c r="F58" s="79">
        <v>45548</v>
      </c>
      <c r="G58" s="41" t="s">
        <v>25</v>
      </c>
      <c r="H58" s="38" t="s">
        <v>134</v>
      </c>
      <c r="I58" s="8">
        <v>5</v>
      </c>
      <c r="J58" s="6" t="s">
        <v>122</v>
      </c>
      <c r="K58" s="4" t="s">
        <v>92</v>
      </c>
      <c r="L58" s="2">
        <v>125</v>
      </c>
      <c r="M58" s="31">
        <v>595</v>
      </c>
      <c r="N58" s="23">
        <v>284</v>
      </c>
      <c r="O58" s="34">
        <v>1.91</v>
      </c>
      <c r="P58" s="31">
        <v>535</v>
      </c>
      <c r="Q58" s="23">
        <v>274</v>
      </c>
      <c r="R58" s="34">
        <v>2.0499999999999998</v>
      </c>
      <c r="S58" s="26">
        <f t="shared" si="3"/>
        <v>1130</v>
      </c>
      <c r="T58" s="26">
        <f t="shared" si="4"/>
        <v>558</v>
      </c>
      <c r="U58" s="26">
        <f t="shared" si="5"/>
        <v>3.96</v>
      </c>
      <c r="V58" s="50" t="s">
        <v>105</v>
      </c>
      <c r="W58" s="8">
        <v>100</v>
      </c>
    </row>
    <row r="59" spans="5:23" x14ac:dyDescent="0.25">
      <c r="E59">
        <v>51</v>
      </c>
      <c r="F59" s="79">
        <v>45548</v>
      </c>
      <c r="G59" s="41" t="s">
        <v>25</v>
      </c>
      <c r="H59" s="38" t="s">
        <v>135</v>
      </c>
      <c r="I59" s="8">
        <v>6</v>
      </c>
      <c r="J59" s="6" t="s">
        <v>122</v>
      </c>
      <c r="K59" s="4" t="s">
        <v>22</v>
      </c>
      <c r="L59" s="2">
        <v>185</v>
      </c>
      <c r="M59" s="31">
        <v>817</v>
      </c>
      <c r="N59" s="23">
        <v>420</v>
      </c>
      <c r="O59" s="34">
        <v>2.06</v>
      </c>
      <c r="P59" s="31">
        <v>840</v>
      </c>
      <c r="Q59" s="23">
        <v>453</v>
      </c>
      <c r="R59" s="34">
        <v>2.16</v>
      </c>
      <c r="S59" s="26">
        <f t="shared" si="3"/>
        <v>1657</v>
      </c>
      <c r="T59" s="26">
        <f t="shared" si="4"/>
        <v>873</v>
      </c>
      <c r="U59" s="26">
        <f t="shared" si="5"/>
        <v>4.2200000000000006</v>
      </c>
      <c r="V59" s="50" t="s">
        <v>97</v>
      </c>
      <c r="W59" s="8">
        <v>148</v>
      </c>
    </row>
    <row r="60" spans="5:23" x14ac:dyDescent="0.25">
      <c r="E60">
        <v>52</v>
      </c>
      <c r="F60" s="79">
        <v>45548</v>
      </c>
      <c r="G60" s="41" t="s">
        <v>25</v>
      </c>
      <c r="H60" s="38" t="s">
        <v>136</v>
      </c>
      <c r="I60" s="8">
        <v>5</v>
      </c>
      <c r="J60" s="6" t="s">
        <v>21</v>
      </c>
      <c r="K60" s="4" t="s">
        <v>42</v>
      </c>
      <c r="L60" s="2">
        <v>167</v>
      </c>
      <c r="M60" s="31">
        <v>752</v>
      </c>
      <c r="N60" s="23">
        <v>398</v>
      </c>
      <c r="O60" s="34">
        <v>2.12</v>
      </c>
      <c r="P60" s="31">
        <v>779</v>
      </c>
      <c r="Q60" s="23">
        <v>420</v>
      </c>
      <c r="R60" s="34">
        <v>2.16</v>
      </c>
      <c r="S60" s="26">
        <f t="shared" si="3"/>
        <v>1531</v>
      </c>
      <c r="T60" s="26">
        <f t="shared" si="4"/>
        <v>818</v>
      </c>
      <c r="U60" s="26">
        <f t="shared" si="5"/>
        <v>4.28</v>
      </c>
      <c r="V60" s="50" t="s">
        <v>116</v>
      </c>
      <c r="W60" s="8">
        <v>134</v>
      </c>
    </row>
    <row r="61" spans="5:23" x14ac:dyDescent="0.25">
      <c r="E61">
        <v>53</v>
      </c>
      <c r="F61" s="79">
        <v>45548</v>
      </c>
      <c r="G61" s="41" t="s">
        <v>54</v>
      </c>
      <c r="H61" s="38" t="s">
        <v>137</v>
      </c>
      <c r="I61" s="8">
        <v>4</v>
      </c>
      <c r="J61" s="6" t="s">
        <v>21</v>
      </c>
      <c r="K61" s="4" t="s">
        <v>88</v>
      </c>
      <c r="L61" s="2">
        <v>140</v>
      </c>
      <c r="M61" s="31">
        <v>659</v>
      </c>
      <c r="N61" s="23">
        <v>348</v>
      </c>
      <c r="O61" s="34">
        <v>2.11</v>
      </c>
      <c r="P61" s="31">
        <v>675</v>
      </c>
      <c r="Q61" s="23">
        <v>329</v>
      </c>
      <c r="R61" s="34">
        <v>1.95</v>
      </c>
      <c r="S61" s="26">
        <f t="shared" si="3"/>
        <v>1334</v>
      </c>
      <c r="T61" s="26">
        <f t="shared" si="4"/>
        <v>677</v>
      </c>
      <c r="U61" s="26">
        <f t="shared" si="5"/>
        <v>4.0599999999999996</v>
      </c>
      <c r="V61" s="50" t="s">
        <v>105</v>
      </c>
      <c r="W61" s="8">
        <v>112</v>
      </c>
    </row>
    <row r="62" spans="5:23" x14ac:dyDescent="0.25">
      <c r="E62">
        <v>54</v>
      </c>
      <c r="F62" s="79">
        <v>45548</v>
      </c>
      <c r="G62" s="41" t="s">
        <v>25</v>
      </c>
      <c r="H62" s="38" t="s">
        <v>138</v>
      </c>
      <c r="I62" s="8">
        <v>4</v>
      </c>
      <c r="J62" s="6" t="s">
        <v>21</v>
      </c>
      <c r="K62" s="4" t="s">
        <v>22</v>
      </c>
      <c r="L62" s="2">
        <v>155</v>
      </c>
      <c r="M62" s="31">
        <v>678</v>
      </c>
      <c r="N62" s="23">
        <v>332</v>
      </c>
      <c r="O62" s="34">
        <v>1.96</v>
      </c>
      <c r="P62" s="31">
        <v>661</v>
      </c>
      <c r="Q62" s="23">
        <v>336</v>
      </c>
      <c r="R62" s="34">
        <v>2.0299999999999998</v>
      </c>
      <c r="S62" s="26">
        <f t="shared" si="3"/>
        <v>1339</v>
      </c>
      <c r="T62" s="26">
        <f t="shared" si="4"/>
        <v>668</v>
      </c>
      <c r="U62" s="26">
        <f t="shared" si="5"/>
        <v>3.9899999999999998</v>
      </c>
      <c r="V62" s="50" t="s">
        <v>99</v>
      </c>
      <c r="W62" s="8">
        <v>124</v>
      </c>
    </row>
    <row r="63" spans="5:23" x14ac:dyDescent="0.25">
      <c r="E63">
        <v>55</v>
      </c>
      <c r="F63" s="79">
        <v>45548</v>
      </c>
      <c r="G63" s="41" t="s">
        <v>54</v>
      </c>
      <c r="H63" s="38" t="s">
        <v>139</v>
      </c>
      <c r="I63" s="8">
        <v>6</v>
      </c>
      <c r="J63" s="6" t="s">
        <v>122</v>
      </c>
      <c r="K63" s="4" t="s">
        <v>70</v>
      </c>
      <c r="L63" s="2">
        <v>200</v>
      </c>
      <c r="M63" s="31">
        <v>869</v>
      </c>
      <c r="N63" s="23">
        <v>230</v>
      </c>
      <c r="O63" s="34">
        <v>1.06</v>
      </c>
      <c r="P63" s="31">
        <v>929</v>
      </c>
      <c r="Q63" s="23">
        <v>251</v>
      </c>
      <c r="R63" s="34">
        <v>1.08</v>
      </c>
      <c r="S63" s="26">
        <f t="shared" si="3"/>
        <v>1798</v>
      </c>
      <c r="T63" s="26">
        <f t="shared" si="4"/>
        <v>481</v>
      </c>
      <c r="U63" s="26">
        <f t="shared" si="5"/>
        <v>2.14</v>
      </c>
      <c r="V63" s="50" t="s">
        <v>140</v>
      </c>
      <c r="W63" s="8">
        <v>160</v>
      </c>
    </row>
    <row r="64" spans="5:23" x14ac:dyDescent="0.25">
      <c r="E64">
        <v>56</v>
      </c>
      <c r="F64" s="79">
        <v>45548</v>
      </c>
      <c r="G64" s="41" t="s">
        <v>25</v>
      </c>
      <c r="H64" s="38" t="s">
        <v>141</v>
      </c>
      <c r="I64" s="8">
        <v>5</v>
      </c>
      <c r="J64" s="6" t="s">
        <v>122</v>
      </c>
      <c r="K64" s="4" t="s">
        <v>92</v>
      </c>
      <c r="L64" s="2">
        <v>97</v>
      </c>
      <c r="M64" s="31">
        <v>423</v>
      </c>
      <c r="N64" s="23">
        <v>145</v>
      </c>
      <c r="O64" s="34">
        <v>1.37</v>
      </c>
      <c r="P64" s="31">
        <v>444</v>
      </c>
      <c r="Q64" s="23">
        <v>160</v>
      </c>
      <c r="R64" s="34">
        <v>1.44</v>
      </c>
      <c r="S64" s="26">
        <f t="shared" si="3"/>
        <v>867</v>
      </c>
      <c r="T64" s="26">
        <f t="shared" si="4"/>
        <v>305</v>
      </c>
      <c r="U64" s="26">
        <f t="shared" si="5"/>
        <v>2.81</v>
      </c>
      <c r="V64" s="50" t="s">
        <v>142</v>
      </c>
      <c r="W64" s="8">
        <v>78</v>
      </c>
    </row>
    <row r="65" spans="5:23" x14ac:dyDescent="0.25">
      <c r="E65">
        <v>57</v>
      </c>
      <c r="F65" s="79">
        <v>45548</v>
      </c>
      <c r="G65" s="41" t="s">
        <v>54</v>
      </c>
      <c r="H65" s="38" t="s">
        <v>143</v>
      </c>
      <c r="I65" s="8">
        <v>4</v>
      </c>
      <c r="J65" s="6" t="s">
        <v>51</v>
      </c>
      <c r="K65" s="4" t="s">
        <v>88</v>
      </c>
      <c r="L65" s="2">
        <v>150</v>
      </c>
      <c r="M65" s="31">
        <v>695</v>
      </c>
      <c r="N65" s="23">
        <v>328</v>
      </c>
      <c r="O65" s="34">
        <v>1.89</v>
      </c>
      <c r="P65" s="31">
        <v>679</v>
      </c>
      <c r="Q65" s="23">
        <v>330</v>
      </c>
      <c r="R65" s="34">
        <v>1.95</v>
      </c>
      <c r="S65" s="26">
        <f t="shared" si="3"/>
        <v>1374</v>
      </c>
      <c r="T65" s="26">
        <f t="shared" si="4"/>
        <v>658</v>
      </c>
      <c r="U65" s="26">
        <f t="shared" si="5"/>
        <v>3.84</v>
      </c>
      <c r="V65" s="50" t="s">
        <v>116</v>
      </c>
      <c r="W65" s="8">
        <v>120</v>
      </c>
    </row>
    <row r="66" spans="5:23" x14ac:dyDescent="0.25">
      <c r="E66">
        <v>58</v>
      </c>
      <c r="F66" s="79">
        <v>45551</v>
      </c>
      <c r="G66" s="41" t="s">
        <v>54</v>
      </c>
      <c r="H66" s="38" t="s">
        <v>144</v>
      </c>
      <c r="I66" s="8">
        <v>7</v>
      </c>
      <c r="J66" s="6" t="s">
        <v>21</v>
      </c>
      <c r="K66" s="4" t="s">
        <v>145</v>
      </c>
      <c r="L66" s="2">
        <v>235</v>
      </c>
      <c r="M66" s="31">
        <v>999</v>
      </c>
      <c r="N66" s="23">
        <v>481</v>
      </c>
      <c r="O66" s="34">
        <v>1.92</v>
      </c>
      <c r="P66" s="31">
        <v>1015</v>
      </c>
      <c r="Q66" s="23">
        <v>495</v>
      </c>
      <c r="R66" s="34">
        <v>1.95</v>
      </c>
      <c r="S66" s="26">
        <f t="shared" si="3"/>
        <v>2014</v>
      </c>
      <c r="T66" s="26">
        <f t="shared" si="4"/>
        <v>976</v>
      </c>
      <c r="U66" s="26">
        <f t="shared" si="5"/>
        <v>3.87</v>
      </c>
      <c r="V66" s="50" t="s">
        <v>146</v>
      </c>
      <c r="W66" s="8">
        <v>188</v>
      </c>
    </row>
    <row r="67" spans="5:23" x14ac:dyDescent="0.25">
      <c r="E67">
        <v>59</v>
      </c>
      <c r="F67" s="79">
        <v>45551</v>
      </c>
      <c r="G67" s="41" t="s">
        <v>54</v>
      </c>
      <c r="H67" s="38" t="s">
        <v>147</v>
      </c>
      <c r="I67" s="8">
        <v>3</v>
      </c>
      <c r="J67" s="6" t="s">
        <v>122</v>
      </c>
      <c r="K67" s="4" t="s">
        <v>38</v>
      </c>
      <c r="L67" s="2">
        <v>110</v>
      </c>
      <c r="M67" s="31">
        <v>517</v>
      </c>
      <c r="N67" s="23">
        <v>229</v>
      </c>
      <c r="O67" s="34">
        <v>1.77</v>
      </c>
      <c r="P67" s="31">
        <v>539</v>
      </c>
      <c r="Q67" s="23">
        <v>229</v>
      </c>
      <c r="R67" s="34">
        <v>1.7</v>
      </c>
      <c r="S67" s="26">
        <f t="shared" si="3"/>
        <v>1056</v>
      </c>
      <c r="T67" s="26">
        <f t="shared" si="4"/>
        <v>458</v>
      </c>
      <c r="U67" s="26">
        <f t="shared" si="5"/>
        <v>3.4699999999999998</v>
      </c>
      <c r="V67" s="50" t="s">
        <v>105</v>
      </c>
      <c r="W67" s="8">
        <v>88</v>
      </c>
    </row>
    <row r="68" spans="5:23" x14ac:dyDescent="0.25">
      <c r="E68">
        <v>60</v>
      </c>
      <c r="F68" s="79">
        <v>45551</v>
      </c>
      <c r="G68" s="41" t="s">
        <v>54</v>
      </c>
      <c r="H68" s="38" t="s">
        <v>148</v>
      </c>
      <c r="I68" s="8">
        <v>5</v>
      </c>
      <c r="J68" s="6" t="s">
        <v>21</v>
      </c>
      <c r="K68" s="4" t="s">
        <v>64</v>
      </c>
      <c r="L68" s="2">
        <v>70</v>
      </c>
      <c r="M68" s="31">
        <v>679</v>
      </c>
      <c r="N68" s="23">
        <v>102</v>
      </c>
      <c r="O68" s="34">
        <v>0.6</v>
      </c>
      <c r="P68" s="31">
        <v>732</v>
      </c>
      <c r="Q68" s="23">
        <v>115</v>
      </c>
      <c r="R68" s="34">
        <v>0.63</v>
      </c>
      <c r="S68" s="26">
        <f t="shared" si="3"/>
        <v>1411</v>
      </c>
      <c r="T68" s="26">
        <f t="shared" si="4"/>
        <v>217</v>
      </c>
      <c r="U68" s="26">
        <f t="shared" si="5"/>
        <v>1.23</v>
      </c>
      <c r="V68" s="50" t="s">
        <v>149</v>
      </c>
      <c r="W68" s="8">
        <v>56</v>
      </c>
    </row>
    <row r="69" spans="5:23" x14ac:dyDescent="0.25">
      <c r="E69">
        <v>61</v>
      </c>
      <c r="F69" s="79">
        <v>45552</v>
      </c>
      <c r="G69" s="41" t="s">
        <v>25</v>
      </c>
      <c r="H69" s="38" t="s">
        <v>150</v>
      </c>
      <c r="I69" s="8">
        <v>6</v>
      </c>
      <c r="J69" s="6" t="s">
        <v>122</v>
      </c>
      <c r="K69" s="4" t="s">
        <v>22</v>
      </c>
      <c r="L69" s="2">
        <v>145</v>
      </c>
      <c r="M69" s="31">
        <v>615</v>
      </c>
      <c r="N69" s="23">
        <v>298</v>
      </c>
      <c r="O69" s="34">
        <v>1.94</v>
      </c>
      <c r="P69" s="31">
        <v>707</v>
      </c>
      <c r="Q69" s="23">
        <v>353</v>
      </c>
      <c r="R69" s="34">
        <v>1.99</v>
      </c>
      <c r="S69" s="26">
        <f t="shared" si="3"/>
        <v>1322</v>
      </c>
      <c r="T69" s="26">
        <f t="shared" si="4"/>
        <v>651</v>
      </c>
      <c r="U69" s="26">
        <f t="shared" si="5"/>
        <v>3.9299999999999997</v>
      </c>
      <c r="V69" s="50" t="s">
        <v>99</v>
      </c>
      <c r="W69" s="8">
        <v>116</v>
      </c>
    </row>
    <row r="70" spans="5:23" x14ac:dyDescent="0.25">
      <c r="E70">
        <v>62</v>
      </c>
      <c r="F70" s="79">
        <v>45552</v>
      </c>
      <c r="G70" s="41" t="s">
        <v>25</v>
      </c>
      <c r="H70" s="38" t="s">
        <v>151</v>
      </c>
      <c r="I70" s="8">
        <v>8</v>
      </c>
      <c r="J70" s="6" t="s">
        <v>122</v>
      </c>
      <c r="K70" s="4" t="s">
        <v>61</v>
      </c>
      <c r="L70" s="2">
        <v>280</v>
      </c>
      <c r="M70" s="31">
        <v>1291</v>
      </c>
      <c r="N70" s="23">
        <v>730</v>
      </c>
      <c r="O70" s="34">
        <v>2.2599999999999998</v>
      </c>
      <c r="P70" s="31">
        <v>1275</v>
      </c>
      <c r="Q70" s="23">
        <v>719</v>
      </c>
      <c r="R70" s="34">
        <v>2.25</v>
      </c>
      <c r="S70" s="26">
        <f t="shared" si="3"/>
        <v>2566</v>
      </c>
      <c r="T70" s="26">
        <f t="shared" si="4"/>
        <v>1449</v>
      </c>
      <c r="U70" s="26">
        <f t="shared" si="5"/>
        <v>4.51</v>
      </c>
      <c r="V70" s="50" t="s">
        <v>152</v>
      </c>
      <c r="W70" s="8">
        <v>224</v>
      </c>
    </row>
    <row r="71" spans="5:23" x14ac:dyDescent="0.25">
      <c r="E71">
        <v>63</v>
      </c>
      <c r="F71" s="79">
        <v>45552</v>
      </c>
      <c r="G71" s="41" t="s">
        <v>25</v>
      </c>
      <c r="H71" s="38" t="s">
        <v>153</v>
      </c>
      <c r="I71" s="8">
        <v>6</v>
      </c>
      <c r="J71" s="6" t="s">
        <v>122</v>
      </c>
      <c r="K71" s="4" t="s">
        <v>22</v>
      </c>
      <c r="L71" s="2">
        <v>185</v>
      </c>
      <c r="M71" s="31">
        <v>871</v>
      </c>
      <c r="N71" s="23">
        <v>276</v>
      </c>
      <c r="O71" s="34">
        <v>1.27</v>
      </c>
      <c r="P71" s="31">
        <v>994</v>
      </c>
      <c r="Q71" s="23">
        <v>336</v>
      </c>
      <c r="R71" s="34">
        <v>1.35</v>
      </c>
      <c r="S71" s="26">
        <f t="shared" si="3"/>
        <v>1865</v>
      </c>
      <c r="T71" s="26">
        <f t="shared" si="4"/>
        <v>612</v>
      </c>
      <c r="U71" s="26">
        <f t="shared" si="5"/>
        <v>2.62</v>
      </c>
      <c r="V71" s="50" t="s">
        <v>116</v>
      </c>
      <c r="W71" s="8">
        <v>148</v>
      </c>
    </row>
    <row r="72" spans="5:23" x14ac:dyDescent="0.25">
      <c r="E72">
        <v>64</v>
      </c>
      <c r="F72" s="79">
        <v>45553</v>
      </c>
      <c r="G72" s="41" t="s">
        <v>25</v>
      </c>
      <c r="H72" s="38" t="s">
        <v>154</v>
      </c>
      <c r="I72" s="8">
        <v>5</v>
      </c>
      <c r="J72" s="6" t="s">
        <v>21</v>
      </c>
      <c r="K72" s="4" t="s">
        <v>22</v>
      </c>
      <c r="L72" s="2">
        <v>175</v>
      </c>
      <c r="M72" s="31">
        <v>789</v>
      </c>
      <c r="N72" s="23">
        <v>462</v>
      </c>
      <c r="O72" s="34">
        <v>2.34</v>
      </c>
      <c r="P72" s="31">
        <v>799</v>
      </c>
      <c r="Q72" s="23">
        <v>434</v>
      </c>
      <c r="R72" s="34">
        <v>2.17</v>
      </c>
      <c r="S72" s="26">
        <f t="shared" si="3"/>
        <v>1588</v>
      </c>
      <c r="T72" s="26">
        <f t="shared" si="4"/>
        <v>896</v>
      </c>
      <c r="U72" s="26">
        <f t="shared" si="5"/>
        <v>4.51</v>
      </c>
      <c r="V72" s="50" t="s">
        <v>105</v>
      </c>
      <c r="W72" s="8">
        <v>140</v>
      </c>
    </row>
    <row r="73" spans="5:23" x14ac:dyDescent="0.25">
      <c r="E73">
        <v>65</v>
      </c>
      <c r="F73" s="79">
        <v>45554</v>
      </c>
      <c r="G73" s="41" t="s">
        <v>54</v>
      </c>
      <c r="H73" s="38" t="s">
        <v>155</v>
      </c>
      <c r="I73" s="8">
        <v>4</v>
      </c>
      <c r="J73" s="6" t="s">
        <v>122</v>
      </c>
      <c r="K73" s="4" t="s">
        <v>83</v>
      </c>
      <c r="L73" s="2">
        <v>95</v>
      </c>
      <c r="M73" s="31">
        <v>448</v>
      </c>
      <c r="N73" s="23">
        <v>204</v>
      </c>
      <c r="O73" s="34">
        <v>1.82</v>
      </c>
      <c r="P73" s="31">
        <v>517</v>
      </c>
      <c r="Q73" s="23">
        <v>243</v>
      </c>
      <c r="R73" s="34">
        <v>1.88</v>
      </c>
      <c r="S73" s="26">
        <f t="shared" si="3"/>
        <v>965</v>
      </c>
      <c r="T73" s="26">
        <f t="shared" si="4"/>
        <v>447</v>
      </c>
      <c r="U73" s="26">
        <f t="shared" si="5"/>
        <v>3.7</v>
      </c>
      <c r="V73" s="50" t="s">
        <v>105</v>
      </c>
      <c r="W73" s="8">
        <v>76</v>
      </c>
    </row>
    <row r="74" spans="5:23" x14ac:dyDescent="0.25">
      <c r="E74">
        <v>66</v>
      </c>
      <c r="F74" s="79">
        <v>45555</v>
      </c>
      <c r="G74" s="41" t="s">
        <v>54</v>
      </c>
      <c r="H74" s="38" t="s">
        <v>156</v>
      </c>
      <c r="I74" s="8">
        <v>5</v>
      </c>
      <c r="J74" s="6" t="s">
        <v>21</v>
      </c>
      <c r="K74" s="4" t="s">
        <v>83</v>
      </c>
      <c r="L74" s="2">
        <v>80</v>
      </c>
      <c r="M74" s="31">
        <v>0</v>
      </c>
      <c r="N74" s="23">
        <v>0</v>
      </c>
      <c r="O74" s="34">
        <v>0</v>
      </c>
      <c r="P74" s="31">
        <v>0</v>
      </c>
      <c r="Q74" s="23">
        <v>0</v>
      </c>
      <c r="R74" s="34">
        <v>0</v>
      </c>
      <c r="S74" s="26">
        <f t="shared" ref="S74" si="6">M74+P74</f>
        <v>0</v>
      </c>
      <c r="T74" s="26">
        <f t="shared" ref="T74" si="7">N74+Q74</f>
        <v>0</v>
      </c>
      <c r="U74" s="26">
        <f t="shared" ref="U74" si="8">O74+R74</f>
        <v>0</v>
      </c>
      <c r="V74" s="50">
        <v>0</v>
      </c>
      <c r="W74" s="8">
        <v>0</v>
      </c>
    </row>
  </sheetData>
  <mergeCells count="1">
    <mergeCell ref="X9:A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14C8-508E-FB44-AAF6-96FD71315B68}">
  <dimension ref="F7:W50"/>
  <sheetViews>
    <sheetView zoomScale="65" zoomScaleNormal="38" workbookViewId="0">
      <selection activeCell="U2" sqref="U2"/>
    </sheetView>
  </sheetViews>
  <sheetFormatPr baseColWidth="10" defaultColWidth="11" defaultRowHeight="15.75" x14ac:dyDescent="0.25"/>
  <cols>
    <col min="3" max="3" width="13" bestFit="1" customWidth="1"/>
    <col min="5" max="5" width="12.125" customWidth="1"/>
    <col min="6" max="6" width="13.5" customWidth="1"/>
    <col min="8" max="8" width="13" bestFit="1" customWidth="1"/>
    <col min="10" max="10" width="12.625" bestFit="1" customWidth="1"/>
    <col min="14" max="14" width="14.875" bestFit="1" customWidth="1"/>
    <col min="15" max="15" width="11" bestFit="1" customWidth="1"/>
    <col min="16" max="16" width="11.125" bestFit="1" customWidth="1"/>
    <col min="19" max="19" width="14.125" bestFit="1" customWidth="1"/>
    <col min="20" max="20" width="14.625" bestFit="1" customWidth="1"/>
    <col min="21" max="21" width="16.625" bestFit="1" customWidth="1"/>
    <col min="22" max="22" width="12.375" bestFit="1" customWidth="1"/>
  </cols>
  <sheetData>
    <row r="7" spans="6:23" ht="16.5" thickBot="1" x14ac:dyDescent="0.3"/>
    <row r="8" spans="6:23" ht="16.5" thickBot="1" x14ac:dyDescent="0.3">
      <c r="M8" s="18" t="s">
        <v>0</v>
      </c>
    </row>
    <row r="9" spans="6:23" ht="16.5" thickBot="1" x14ac:dyDescent="0.3">
      <c r="M9" s="18" t="s">
        <v>1</v>
      </c>
      <c r="P9" s="18" t="s">
        <v>2</v>
      </c>
    </row>
    <row r="10" spans="6:23" ht="16.5" thickBot="1" x14ac:dyDescent="0.3">
      <c r="F10" s="42" t="s">
        <v>3</v>
      </c>
      <c r="G10" s="43" t="s">
        <v>4</v>
      </c>
      <c r="H10" s="35" t="s">
        <v>5</v>
      </c>
      <c r="I10" s="13" t="s">
        <v>6</v>
      </c>
      <c r="J10" s="14" t="s">
        <v>7</v>
      </c>
      <c r="K10" s="15" t="s">
        <v>8</v>
      </c>
      <c r="L10" s="16" t="s">
        <v>9</v>
      </c>
      <c r="M10" s="20" t="s">
        <v>10</v>
      </c>
      <c r="N10" s="19" t="s">
        <v>11</v>
      </c>
      <c r="O10" s="24" t="s">
        <v>13</v>
      </c>
      <c r="P10" s="20" t="s">
        <v>10</v>
      </c>
      <c r="Q10" s="19" t="s">
        <v>11</v>
      </c>
      <c r="R10" s="24" t="s">
        <v>13</v>
      </c>
      <c r="S10" s="25" t="s">
        <v>14</v>
      </c>
      <c r="T10" s="25" t="s">
        <v>15</v>
      </c>
      <c r="U10" s="25" t="s">
        <v>16</v>
      </c>
      <c r="V10" s="17" t="s">
        <v>17</v>
      </c>
      <c r="W10" s="51" t="s">
        <v>18</v>
      </c>
    </row>
    <row r="11" spans="6:23" x14ac:dyDescent="0.25">
      <c r="F11" s="44"/>
      <c r="G11" s="39"/>
      <c r="H11" s="36"/>
      <c r="I11" s="9"/>
      <c r="J11" s="10"/>
      <c r="K11" s="11"/>
      <c r="L11" s="12"/>
      <c r="M11" s="29"/>
      <c r="N11" s="21"/>
      <c r="O11" s="32"/>
      <c r="P11" s="29"/>
      <c r="Q11" s="21"/>
      <c r="R11" s="32"/>
      <c r="S11" s="26"/>
      <c r="T11" s="26"/>
      <c r="U11" s="26"/>
      <c r="V11" s="47"/>
      <c r="W11" s="53"/>
    </row>
    <row r="12" spans="6:23" x14ac:dyDescent="0.25">
      <c r="F12" s="44"/>
      <c r="G12" s="40"/>
      <c r="H12" s="37"/>
      <c r="I12" s="7"/>
      <c r="J12" s="5"/>
      <c r="K12" s="3"/>
      <c r="L12" s="1"/>
      <c r="M12" s="30"/>
      <c r="N12" s="22"/>
      <c r="O12" s="33"/>
      <c r="P12" s="30"/>
      <c r="Q12" s="22"/>
      <c r="R12" s="33"/>
      <c r="S12" s="27"/>
      <c r="T12" s="27"/>
      <c r="U12" s="27"/>
      <c r="V12" s="48"/>
      <c r="W12" s="7"/>
    </row>
    <row r="13" spans="6:23" x14ac:dyDescent="0.25">
      <c r="F13" s="44"/>
      <c r="G13" s="40"/>
      <c r="H13" s="37"/>
      <c r="I13" s="7"/>
      <c r="J13" s="5"/>
      <c r="K13" s="3"/>
      <c r="L13" s="1"/>
      <c r="M13" s="30"/>
      <c r="N13" s="22"/>
      <c r="O13" s="33"/>
      <c r="P13" s="30"/>
      <c r="Q13" s="22"/>
      <c r="R13" s="33"/>
      <c r="S13" s="27"/>
      <c r="T13" s="27"/>
      <c r="U13" s="27"/>
      <c r="V13" s="49"/>
      <c r="W13" s="7"/>
    </row>
    <row r="14" spans="6:23" x14ac:dyDescent="0.25">
      <c r="F14" s="44"/>
      <c r="G14" s="40"/>
      <c r="H14" s="37"/>
      <c r="I14" s="7"/>
      <c r="J14" s="5"/>
      <c r="K14" s="3"/>
      <c r="L14" s="1"/>
      <c r="M14" s="30"/>
      <c r="N14" s="22"/>
      <c r="O14" s="33"/>
      <c r="P14" s="30"/>
      <c r="Q14" s="22"/>
      <c r="R14" s="33"/>
      <c r="S14" s="27"/>
      <c r="T14" s="27"/>
      <c r="U14" s="27"/>
      <c r="V14" s="49"/>
      <c r="W14" s="7"/>
    </row>
    <row r="15" spans="6:23" x14ac:dyDescent="0.25">
      <c r="F15" s="44"/>
      <c r="G15" s="40"/>
      <c r="H15" s="37"/>
      <c r="I15" s="7"/>
      <c r="J15" s="5"/>
      <c r="K15" s="3"/>
      <c r="L15" s="1"/>
      <c r="M15" s="30"/>
      <c r="N15" s="22"/>
      <c r="O15" s="33"/>
      <c r="P15" s="30"/>
      <c r="Q15" s="22"/>
      <c r="R15" s="33"/>
      <c r="S15" s="27"/>
      <c r="T15" s="27"/>
      <c r="U15" s="27"/>
      <c r="V15" s="49"/>
      <c r="W15" s="7"/>
    </row>
    <row r="16" spans="6:23" x14ac:dyDescent="0.25">
      <c r="F16" s="44"/>
      <c r="G16" s="40"/>
      <c r="H16" s="37"/>
      <c r="I16" s="7"/>
      <c r="J16" s="5"/>
      <c r="K16" s="3"/>
      <c r="L16" s="1"/>
      <c r="M16" s="30"/>
      <c r="N16" s="22"/>
      <c r="O16" s="33"/>
      <c r="P16" s="30"/>
      <c r="Q16" s="22"/>
      <c r="R16" s="33"/>
      <c r="S16" s="27"/>
      <c r="T16" s="27"/>
      <c r="U16" s="27"/>
      <c r="V16" s="49"/>
      <c r="W16" s="7"/>
    </row>
    <row r="17" spans="6:23" x14ac:dyDescent="0.25">
      <c r="F17" s="44"/>
      <c r="G17" s="40"/>
      <c r="H17" s="37"/>
      <c r="I17" s="7"/>
      <c r="J17" s="5"/>
      <c r="K17" s="3"/>
      <c r="L17" s="1"/>
      <c r="M17" s="30"/>
      <c r="N17" s="22"/>
      <c r="O17" s="33"/>
      <c r="P17" s="30"/>
      <c r="Q17" s="22"/>
      <c r="R17" s="33"/>
      <c r="S17" s="27"/>
      <c r="T17" s="27"/>
      <c r="U17" s="27"/>
      <c r="V17" s="49"/>
      <c r="W17" s="7"/>
    </row>
    <row r="18" spans="6:23" x14ac:dyDescent="0.25">
      <c r="F18" s="44"/>
      <c r="G18" s="40"/>
      <c r="H18" s="37"/>
      <c r="I18" s="7"/>
      <c r="J18" s="5"/>
      <c r="K18" s="3"/>
      <c r="L18" s="1"/>
      <c r="M18" s="30"/>
      <c r="N18" s="22"/>
      <c r="O18" s="33"/>
      <c r="P18" s="30"/>
      <c r="Q18" s="22"/>
      <c r="R18" s="33"/>
      <c r="S18" s="27"/>
      <c r="T18" s="27"/>
      <c r="U18" s="27"/>
      <c r="V18" s="49"/>
      <c r="W18" s="7"/>
    </row>
    <row r="19" spans="6:23" x14ac:dyDescent="0.25">
      <c r="F19" s="44"/>
      <c r="G19" s="40"/>
      <c r="H19" s="37"/>
      <c r="I19" s="7"/>
      <c r="J19" s="5"/>
      <c r="K19" s="3"/>
      <c r="L19" s="1"/>
      <c r="M19" s="30"/>
      <c r="N19" s="22"/>
      <c r="O19" s="33"/>
      <c r="P19" s="30"/>
      <c r="Q19" s="22"/>
      <c r="R19" s="33"/>
      <c r="S19" s="27"/>
      <c r="T19" s="27"/>
      <c r="U19" s="27"/>
      <c r="V19" s="49"/>
      <c r="W19" s="7"/>
    </row>
    <row r="20" spans="6:23" x14ac:dyDescent="0.25">
      <c r="F20" s="44"/>
      <c r="G20" s="40"/>
      <c r="H20" s="37"/>
      <c r="I20" s="7"/>
      <c r="J20" s="5"/>
      <c r="K20" s="3"/>
      <c r="L20" s="1"/>
      <c r="M20" s="30"/>
      <c r="N20" s="22"/>
      <c r="O20" s="33"/>
      <c r="P20" s="30"/>
      <c r="Q20" s="22"/>
      <c r="R20" s="33"/>
      <c r="S20" s="27"/>
      <c r="T20" s="27"/>
      <c r="U20" s="27"/>
      <c r="V20" s="49"/>
      <c r="W20" s="7"/>
    </row>
    <row r="21" spans="6:23" x14ac:dyDescent="0.25">
      <c r="F21" s="44"/>
      <c r="G21" s="40"/>
      <c r="H21" s="37"/>
      <c r="I21" s="7"/>
      <c r="J21" s="5"/>
      <c r="K21" s="3"/>
      <c r="L21" s="1"/>
      <c r="M21" s="30"/>
      <c r="N21" s="22"/>
      <c r="O21" s="33"/>
      <c r="P21" s="30"/>
      <c r="Q21" s="22"/>
      <c r="R21" s="33"/>
      <c r="S21" s="27"/>
      <c r="T21" s="27"/>
      <c r="U21" s="27"/>
      <c r="V21" s="49"/>
      <c r="W21" s="7"/>
    </row>
    <row r="22" spans="6:23" x14ac:dyDescent="0.25">
      <c r="F22" s="44"/>
      <c r="G22" s="40"/>
      <c r="H22" s="37"/>
      <c r="I22" s="7"/>
      <c r="J22" s="5"/>
      <c r="K22" s="3"/>
      <c r="L22" s="1"/>
      <c r="M22" s="30"/>
      <c r="N22" s="22"/>
      <c r="O22" s="33"/>
      <c r="P22" s="30"/>
      <c r="Q22" s="22"/>
      <c r="R22" s="33"/>
      <c r="S22" s="27"/>
      <c r="T22" s="27"/>
      <c r="U22" s="27"/>
      <c r="V22" s="49"/>
      <c r="W22" s="7"/>
    </row>
    <row r="23" spans="6:23" x14ac:dyDescent="0.25">
      <c r="F23" s="44"/>
      <c r="G23" s="40"/>
      <c r="H23" s="37"/>
      <c r="I23" s="7"/>
      <c r="J23" s="5"/>
      <c r="K23" s="3"/>
      <c r="L23" s="1"/>
      <c r="M23" s="30"/>
      <c r="N23" s="22"/>
      <c r="O23" s="33"/>
      <c r="P23" s="30"/>
      <c r="Q23" s="22"/>
      <c r="R23" s="33"/>
      <c r="S23" s="27"/>
      <c r="T23" s="27"/>
      <c r="U23" s="27"/>
      <c r="V23" s="49"/>
      <c r="W23" s="7"/>
    </row>
    <row r="24" spans="6:23" x14ac:dyDescent="0.25">
      <c r="F24" s="44"/>
      <c r="G24" s="40"/>
      <c r="H24" s="37"/>
      <c r="I24" s="7"/>
      <c r="J24" s="5"/>
      <c r="K24" s="3"/>
      <c r="L24" s="1"/>
      <c r="M24" s="30"/>
      <c r="N24" s="22"/>
      <c r="O24" s="33"/>
      <c r="P24" s="30"/>
      <c r="Q24" s="22"/>
      <c r="R24" s="33"/>
      <c r="S24" s="27"/>
      <c r="T24" s="27"/>
      <c r="U24" s="27"/>
      <c r="V24" s="49"/>
      <c r="W24" s="7"/>
    </row>
    <row r="25" spans="6:23" x14ac:dyDescent="0.25">
      <c r="F25" s="44"/>
      <c r="G25" s="40"/>
      <c r="H25" s="37"/>
      <c r="I25" s="7"/>
      <c r="J25" s="5"/>
      <c r="K25" s="3"/>
      <c r="L25" s="1"/>
      <c r="M25" s="30"/>
      <c r="N25" s="22"/>
      <c r="O25" s="33"/>
      <c r="P25" s="30"/>
      <c r="Q25" s="22"/>
      <c r="R25" s="33"/>
      <c r="S25" s="27"/>
      <c r="T25" s="27"/>
      <c r="U25" s="27"/>
      <c r="V25" s="49"/>
      <c r="W25" s="7"/>
    </row>
    <row r="26" spans="6:23" x14ac:dyDescent="0.25">
      <c r="F26" s="44"/>
      <c r="G26" s="40"/>
      <c r="H26" s="37"/>
      <c r="I26" s="7"/>
      <c r="J26" s="5"/>
      <c r="K26" s="3"/>
      <c r="L26" s="1"/>
      <c r="M26" s="30"/>
      <c r="N26" s="22"/>
      <c r="O26" s="33"/>
      <c r="P26" s="30"/>
      <c r="Q26" s="22"/>
      <c r="R26" s="33"/>
      <c r="S26" s="27"/>
      <c r="T26" s="27"/>
      <c r="U26" s="27"/>
      <c r="V26" s="49"/>
      <c r="W26" s="7"/>
    </row>
    <row r="27" spans="6:23" x14ac:dyDescent="0.25">
      <c r="F27" s="44"/>
      <c r="G27" s="40"/>
      <c r="H27" s="37"/>
      <c r="I27" s="7"/>
      <c r="J27" s="5"/>
      <c r="K27" s="3"/>
      <c r="L27" s="1"/>
      <c r="M27" s="30"/>
      <c r="N27" s="22"/>
      <c r="O27" s="33"/>
      <c r="P27" s="30"/>
      <c r="Q27" s="22"/>
      <c r="R27" s="33"/>
      <c r="S27" s="27"/>
      <c r="T27" s="27"/>
      <c r="U27" s="27"/>
      <c r="V27" s="49"/>
      <c r="W27" s="7"/>
    </row>
    <row r="28" spans="6:23" x14ac:dyDescent="0.25">
      <c r="F28" s="44"/>
      <c r="G28" s="40"/>
      <c r="H28" s="37"/>
      <c r="I28" s="7"/>
      <c r="J28" s="5"/>
      <c r="K28" s="3"/>
      <c r="L28" s="1"/>
      <c r="M28" s="30"/>
      <c r="N28" s="22"/>
      <c r="O28" s="33"/>
      <c r="P28" s="30"/>
      <c r="Q28" s="22"/>
      <c r="R28" s="33"/>
      <c r="S28" s="27"/>
      <c r="T28" s="27"/>
      <c r="U28" s="27"/>
      <c r="V28" s="49"/>
      <c r="W28" s="7"/>
    </row>
    <row r="29" spans="6:23" x14ac:dyDescent="0.25">
      <c r="F29" s="44"/>
      <c r="G29" s="40"/>
      <c r="H29" s="37"/>
      <c r="I29" s="7"/>
      <c r="J29" s="5"/>
      <c r="K29" s="3"/>
      <c r="L29" s="1"/>
      <c r="M29" s="30"/>
      <c r="N29" s="22"/>
      <c r="O29" s="33"/>
      <c r="P29" s="30"/>
      <c r="Q29" s="22"/>
      <c r="R29" s="33"/>
      <c r="S29" s="27"/>
      <c r="T29" s="27"/>
      <c r="U29" s="27"/>
      <c r="V29" s="49"/>
      <c r="W29" s="7"/>
    </row>
    <row r="30" spans="6:23" x14ac:dyDescent="0.25">
      <c r="F30" s="44"/>
      <c r="G30" s="40"/>
      <c r="H30" s="37"/>
      <c r="I30" s="7"/>
      <c r="J30" s="5"/>
      <c r="K30" s="3"/>
      <c r="L30" s="1"/>
      <c r="M30" s="30"/>
      <c r="N30" s="22"/>
      <c r="O30" s="33"/>
      <c r="P30" s="30"/>
      <c r="Q30" s="22"/>
      <c r="R30" s="33"/>
      <c r="S30" s="27"/>
      <c r="T30" s="27"/>
      <c r="U30" s="27"/>
      <c r="V30" s="49"/>
      <c r="W30" s="7"/>
    </row>
    <row r="31" spans="6:23" x14ac:dyDescent="0.25">
      <c r="F31" s="44"/>
      <c r="G31" s="40"/>
      <c r="H31" s="37"/>
      <c r="I31" s="7"/>
      <c r="J31" s="5"/>
      <c r="K31" s="3"/>
      <c r="L31" s="1"/>
      <c r="M31" s="30"/>
      <c r="N31" s="22"/>
      <c r="O31" s="33"/>
      <c r="P31" s="30"/>
      <c r="Q31" s="22"/>
      <c r="R31" s="33"/>
      <c r="S31" s="27"/>
      <c r="T31" s="27"/>
      <c r="U31" s="27"/>
      <c r="V31" s="49"/>
      <c r="W31" s="7"/>
    </row>
    <row r="32" spans="6:23" x14ac:dyDescent="0.25">
      <c r="F32" s="44"/>
      <c r="G32" s="40"/>
      <c r="H32" s="37"/>
      <c r="I32" s="7"/>
      <c r="J32" s="5"/>
      <c r="K32" s="3"/>
      <c r="L32" s="1"/>
      <c r="M32" s="30"/>
      <c r="N32" s="22"/>
      <c r="O32" s="33"/>
      <c r="P32" s="30"/>
      <c r="Q32" s="22"/>
      <c r="R32" s="33"/>
      <c r="S32" s="27"/>
      <c r="T32" s="27"/>
      <c r="U32" s="27"/>
      <c r="V32" s="49"/>
      <c r="W32" s="7"/>
    </row>
    <row r="33" spans="6:23" x14ac:dyDescent="0.25">
      <c r="F33" s="44"/>
      <c r="G33" s="40"/>
      <c r="H33" s="37"/>
      <c r="I33" s="7"/>
      <c r="J33" s="5"/>
      <c r="K33" s="3"/>
      <c r="L33" s="1"/>
      <c r="M33" s="30"/>
      <c r="N33" s="22"/>
      <c r="O33" s="33"/>
      <c r="P33" s="30"/>
      <c r="Q33" s="22"/>
      <c r="R33" s="33"/>
      <c r="S33" s="27"/>
      <c r="T33" s="27"/>
      <c r="U33" s="27"/>
      <c r="V33" s="49"/>
      <c r="W33" s="7"/>
    </row>
    <row r="34" spans="6:23" x14ac:dyDescent="0.25">
      <c r="F34" s="44"/>
      <c r="G34" s="40"/>
      <c r="H34" s="37"/>
      <c r="I34" s="7"/>
      <c r="J34" s="5"/>
      <c r="K34" s="3"/>
      <c r="L34" s="1"/>
      <c r="M34" s="30"/>
      <c r="N34" s="22"/>
      <c r="O34" s="33"/>
      <c r="P34" s="30"/>
      <c r="Q34" s="22"/>
      <c r="R34" s="33"/>
      <c r="S34" s="27"/>
      <c r="T34" s="27"/>
      <c r="U34" s="27"/>
      <c r="V34" s="49"/>
      <c r="W34" s="7"/>
    </row>
    <row r="35" spans="6:23" x14ac:dyDescent="0.25">
      <c r="F35" s="44"/>
      <c r="G35" s="40"/>
      <c r="H35" s="37"/>
      <c r="I35" s="7"/>
      <c r="J35" s="5"/>
      <c r="K35" s="3"/>
      <c r="L35" s="1"/>
      <c r="M35" s="30"/>
      <c r="N35" s="22"/>
      <c r="O35" s="33"/>
      <c r="P35" s="30"/>
      <c r="Q35" s="22"/>
      <c r="R35" s="33"/>
      <c r="S35" s="27"/>
      <c r="T35" s="27"/>
      <c r="U35" s="27"/>
      <c r="V35" s="49"/>
      <c r="W35" s="7"/>
    </row>
    <row r="36" spans="6:23" x14ac:dyDescent="0.25">
      <c r="F36" s="44"/>
      <c r="G36" s="40"/>
      <c r="H36" s="37"/>
      <c r="I36" s="7"/>
      <c r="J36" s="5"/>
      <c r="K36" s="3"/>
      <c r="L36" s="1"/>
      <c r="M36" s="30"/>
      <c r="N36" s="22"/>
      <c r="O36" s="33"/>
      <c r="P36" s="30"/>
      <c r="Q36" s="22"/>
      <c r="R36" s="33"/>
      <c r="S36" s="27"/>
      <c r="T36" s="27"/>
      <c r="U36" s="27"/>
      <c r="V36" s="49"/>
      <c r="W36" s="7"/>
    </row>
    <row r="37" spans="6:23" x14ac:dyDescent="0.25">
      <c r="F37" s="44"/>
      <c r="G37" s="40"/>
      <c r="H37" s="37"/>
      <c r="I37" s="7"/>
      <c r="J37" s="5"/>
      <c r="K37" s="3"/>
      <c r="L37" s="1"/>
      <c r="M37" s="30"/>
      <c r="N37" s="22"/>
      <c r="O37" s="33"/>
      <c r="P37" s="30"/>
      <c r="Q37" s="22"/>
      <c r="R37" s="33"/>
      <c r="S37" s="27"/>
      <c r="T37" s="27"/>
      <c r="U37" s="27"/>
      <c r="V37" s="49"/>
      <c r="W37" s="7"/>
    </row>
    <row r="38" spans="6:23" x14ac:dyDescent="0.25">
      <c r="F38" s="44"/>
      <c r="G38" s="40"/>
      <c r="H38" s="37"/>
      <c r="I38" s="7"/>
      <c r="J38" s="5"/>
      <c r="K38" s="3"/>
      <c r="L38" s="1"/>
      <c r="M38" s="30"/>
      <c r="N38" s="22"/>
      <c r="O38" s="33"/>
      <c r="P38" s="30"/>
      <c r="Q38" s="22"/>
      <c r="R38" s="33"/>
      <c r="S38" s="27"/>
      <c r="T38" s="27"/>
      <c r="U38" s="27"/>
      <c r="V38" s="49"/>
      <c r="W38" s="7"/>
    </row>
    <row r="39" spans="6:23" x14ac:dyDescent="0.25">
      <c r="F39" s="44"/>
      <c r="G39" s="40"/>
      <c r="H39" s="37"/>
      <c r="I39" s="7"/>
      <c r="J39" s="5"/>
      <c r="K39" s="3"/>
      <c r="L39" s="1"/>
      <c r="M39" s="30"/>
      <c r="N39" s="22"/>
      <c r="O39" s="33"/>
      <c r="P39" s="30"/>
      <c r="Q39" s="22"/>
      <c r="R39" s="33"/>
      <c r="S39" s="27"/>
      <c r="T39" s="27"/>
      <c r="U39" s="27"/>
      <c r="V39" s="49"/>
      <c r="W39" s="7"/>
    </row>
    <row r="40" spans="6:23" x14ac:dyDescent="0.25">
      <c r="F40" s="44"/>
      <c r="G40" s="40"/>
      <c r="H40" s="37"/>
      <c r="I40" s="7"/>
      <c r="J40" s="5"/>
      <c r="K40" s="3"/>
      <c r="L40" s="1"/>
      <c r="M40" s="30"/>
      <c r="N40" s="22"/>
      <c r="O40" s="33"/>
      <c r="P40" s="30"/>
      <c r="Q40" s="22"/>
      <c r="R40" s="33"/>
      <c r="S40" s="27"/>
      <c r="T40" s="27"/>
      <c r="U40" s="27"/>
      <c r="V40" s="49"/>
      <c r="W40" s="7"/>
    </row>
    <row r="41" spans="6:23" x14ac:dyDescent="0.25">
      <c r="F41" s="44"/>
      <c r="G41" s="40"/>
      <c r="H41" s="37"/>
      <c r="I41" s="7"/>
      <c r="J41" s="5"/>
      <c r="K41" s="3"/>
      <c r="L41" s="1"/>
      <c r="M41" s="30"/>
      <c r="N41" s="22"/>
      <c r="O41" s="33"/>
      <c r="P41" s="30"/>
      <c r="Q41" s="22"/>
      <c r="R41" s="33"/>
      <c r="S41" s="27"/>
      <c r="T41" s="27"/>
      <c r="U41" s="27"/>
      <c r="V41" s="49"/>
      <c r="W41" s="7"/>
    </row>
    <row r="42" spans="6:23" x14ac:dyDescent="0.25">
      <c r="F42" s="44"/>
      <c r="G42" s="40"/>
      <c r="H42" s="37"/>
      <c r="I42" s="7"/>
      <c r="J42" s="5"/>
      <c r="K42" s="3"/>
      <c r="L42" s="1"/>
      <c r="M42" s="30"/>
      <c r="N42" s="22"/>
      <c r="O42" s="33"/>
      <c r="P42" s="30"/>
      <c r="Q42" s="22"/>
      <c r="R42" s="33"/>
      <c r="S42" s="27"/>
      <c r="T42" s="27"/>
      <c r="U42" s="27"/>
      <c r="V42" s="49"/>
      <c r="W42" s="7"/>
    </row>
    <row r="43" spans="6:23" x14ac:dyDescent="0.25">
      <c r="F43" s="44"/>
      <c r="G43" s="40"/>
      <c r="H43" s="37"/>
      <c r="I43" s="7"/>
      <c r="J43" s="5"/>
      <c r="K43" s="3"/>
      <c r="L43" s="1"/>
      <c r="M43" s="30"/>
      <c r="N43" s="22"/>
      <c r="O43" s="33"/>
      <c r="P43" s="30"/>
      <c r="Q43" s="22"/>
      <c r="R43" s="33"/>
      <c r="S43" s="27"/>
      <c r="T43" s="27"/>
      <c r="U43" s="27"/>
      <c r="V43" s="49"/>
      <c r="W43" s="7"/>
    </row>
    <row r="44" spans="6:23" x14ac:dyDescent="0.25">
      <c r="F44" s="44"/>
      <c r="G44" s="40"/>
      <c r="H44" s="37"/>
      <c r="I44" s="7"/>
      <c r="J44" s="5"/>
      <c r="K44" s="3"/>
      <c r="L44" s="1"/>
      <c r="M44" s="30"/>
      <c r="N44" s="22"/>
      <c r="O44" s="33"/>
      <c r="P44" s="30"/>
      <c r="Q44" s="22"/>
      <c r="R44" s="33"/>
      <c r="S44" s="27"/>
      <c r="T44" s="27"/>
      <c r="U44" s="27"/>
      <c r="V44" s="49"/>
      <c r="W44" s="7"/>
    </row>
    <row r="45" spans="6:23" x14ac:dyDescent="0.25">
      <c r="F45" s="44"/>
      <c r="G45" s="40"/>
      <c r="H45" s="37"/>
      <c r="I45" s="7"/>
      <c r="J45" s="5"/>
      <c r="K45" s="3"/>
      <c r="L45" s="1"/>
      <c r="M45" s="30"/>
      <c r="N45" s="22"/>
      <c r="O45" s="33"/>
      <c r="P45" s="30"/>
      <c r="Q45" s="22"/>
      <c r="R45" s="33"/>
      <c r="S45" s="27"/>
      <c r="T45" s="27"/>
      <c r="U45" s="27"/>
      <c r="V45" s="49"/>
      <c r="W45" s="7"/>
    </row>
    <row r="46" spans="6:23" x14ac:dyDescent="0.25">
      <c r="F46" s="44"/>
      <c r="G46" s="40"/>
      <c r="H46" s="37"/>
      <c r="I46" s="7"/>
      <c r="J46" s="5"/>
      <c r="K46" s="3"/>
      <c r="L46" s="1"/>
      <c r="M46" s="30"/>
      <c r="N46" s="22"/>
      <c r="O46" s="33"/>
      <c r="P46" s="30"/>
      <c r="Q46" s="22"/>
      <c r="R46" s="33"/>
      <c r="S46" s="27"/>
      <c r="T46" s="27"/>
      <c r="U46" s="27"/>
      <c r="V46" s="49"/>
      <c r="W46" s="7"/>
    </row>
    <row r="47" spans="6:23" x14ac:dyDescent="0.25">
      <c r="F47" s="44"/>
      <c r="G47" s="40"/>
      <c r="H47" s="37"/>
      <c r="I47" s="7"/>
      <c r="J47" s="5"/>
      <c r="K47" s="3"/>
      <c r="L47" s="1"/>
      <c r="M47" s="30"/>
      <c r="N47" s="22"/>
      <c r="O47" s="33"/>
      <c r="P47" s="30"/>
      <c r="Q47" s="22"/>
      <c r="R47" s="33"/>
      <c r="S47" s="27"/>
      <c r="T47" s="27"/>
      <c r="U47" s="27"/>
      <c r="V47" s="49"/>
      <c r="W47" s="7"/>
    </row>
    <row r="48" spans="6:23" x14ac:dyDescent="0.25">
      <c r="F48" s="44"/>
      <c r="G48" s="40"/>
      <c r="H48" s="37"/>
      <c r="I48" s="7"/>
      <c r="J48" s="5"/>
      <c r="K48" s="3"/>
      <c r="L48" s="1"/>
      <c r="M48" s="30"/>
      <c r="N48" s="22"/>
      <c r="O48" s="33"/>
      <c r="P48" s="30"/>
      <c r="Q48" s="22"/>
      <c r="R48" s="33"/>
      <c r="S48" s="27"/>
      <c r="T48" s="27"/>
      <c r="U48" s="27"/>
      <c r="V48" s="49"/>
      <c r="W48" s="7"/>
    </row>
    <row r="49" spans="6:23" x14ac:dyDescent="0.25">
      <c r="F49" s="44"/>
      <c r="G49" s="40"/>
      <c r="H49" s="37"/>
      <c r="I49" s="7"/>
      <c r="J49" s="5"/>
      <c r="K49" s="3"/>
      <c r="L49" s="1"/>
      <c r="M49" s="30"/>
      <c r="N49" s="22"/>
      <c r="O49" s="33"/>
      <c r="P49" s="30"/>
      <c r="Q49" s="22"/>
      <c r="R49" s="33"/>
      <c r="S49" s="27"/>
      <c r="T49" s="27"/>
      <c r="U49" s="27"/>
      <c r="V49" s="49"/>
      <c r="W49" s="7"/>
    </row>
    <row r="50" spans="6:23" ht="16.5" thickBot="1" x14ac:dyDescent="0.3">
      <c r="F50" s="45"/>
      <c r="G50" s="41"/>
      <c r="H50" s="38"/>
      <c r="I50" s="8"/>
      <c r="J50" s="6"/>
      <c r="K50" s="4"/>
      <c r="L50" s="2"/>
      <c r="M50" s="31"/>
      <c r="N50" s="23"/>
      <c r="O50" s="34"/>
      <c r="P50" s="31"/>
      <c r="Q50" s="23"/>
      <c r="R50" s="34"/>
      <c r="S50" s="28"/>
      <c r="T50" s="28"/>
      <c r="U50" s="28"/>
      <c r="V50" s="50"/>
      <c r="W5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PRE test</vt:lpstr>
      <vt:lpstr>Post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Hanne Nakken Kjærstad</dc:creator>
  <cp:keywords/>
  <dc:description/>
  <cp:lastModifiedBy>Petter Leistad</cp:lastModifiedBy>
  <cp:revision/>
  <dcterms:created xsi:type="dcterms:W3CDTF">2024-08-26T11:47:13Z</dcterms:created>
  <dcterms:modified xsi:type="dcterms:W3CDTF">2024-10-20T16:39:42Z</dcterms:modified>
  <cp:category/>
  <cp:contentStatus/>
</cp:coreProperties>
</file>